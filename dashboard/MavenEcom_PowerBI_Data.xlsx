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Revenue_Trend" sheetId="1" state="visible" r:id="rId1"/>
    <sheet xmlns:r="http://schemas.openxmlformats.org/officeDocument/2006/relationships" name="Q1_Yearly_KPIs" sheetId="2" state="visible" r:id="rId2"/>
    <sheet xmlns:r="http://schemas.openxmlformats.org/officeDocument/2006/relationships" name="Q2_Revenue_Profitability" sheetId="3" state="visible" r:id="rId3"/>
    <sheet xmlns:r="http://schemas.openxmlformats.org/officeDocument/2006/relationships" name="Q3_Customer_Journey" sheetId="4" state="visible" r:id="rId4"/>
    <sheet xmlns:r="http://schemas.openxmlformats.org/officeDocument/2006/relationships" name="Q4_Marketing_Channels" sheetId="5" state="visible" r:id="rId5"/>
    <sheet xmlns:r="http://schemas.openxmlformats.org/officeDocument/2006/relationships" name="Q5_CrossSell_Bundles" sheetId="6" state="visible" r:id="rId6"/>
    <sheet xmlns:r="http://schemas.openxmlformats.org/officeDocument/2006/relationships" name="Q6_Seasonality" sheetId="7" state="visible" r:id="rId7"/>
    <sheet xmlns:r="http://schemas.openxmlformats.org/officeDocument/2006/relationships" name="Q7_Recommendations" sheetId="8" state="visible" r:id="rId8"/>
    <sheet xmlns:r="http://schemas.openxmlformats.org/officeDocument/2006/relationships" name="PowerBI_Dashboard_Guid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FFFFFFFF"/>
      <sz val="15"/>
    </font>
    <font>
      <name val="Calibri"/>
      <i val="1"/>
      <color rgb="FF888888"/>
      <sz val="9"/>
    </font>
    <font>
      <name val="Calibri"/>
      <b val="1"/>
      <color rgb="FFFFFFFF"/>
      <sz val="10"/>
    </font>
    <font>
      <name val="Calibri"/>
      <color rgb="FF1A1A18"/>
      <sz val="10"/>
    </font>
    <font>
      <name val="Calibri"/>
      <b val="1"/>
      <color rgb="FFFFFFFF"/>
      <sz val="11"/>
    </font>
    <font>
      <name val="Calibri"/>
      <b val="1"/>
      <color rgb="FF1A1A18"/>
      <sz val="10"/>
    </font>
    <font>
      <name val="Calibri"/>
      <b val="1"/>
      <color rgb="FF185FA5"/>
      <sz val="10"/>
    </font>
    <font>
      <name val="Calibri"/>
      <i val="1"/>
      <color rgb="FF888888"/>
      <sz val="10"/>
    </font>
    <font>
      <name val="Calibri"/>
      <b val="1"/>
      <color rgb="FF0F6E56"/>
      <sz val="9"/>
    </font>
    <font>
      <name val="Calibri"/>
      <b val="1"/>
      <color rgb="FF854F0B"/>
      <sz val="9"/>
    </font>
    <font>
      <name val="Calibri"/>
      <b val="1"/>
      <color rgb="FF185FA5"/>
      <sz val="9"/>
    </font>
    <font>
      <name val="Calibri"/>
      <b val="1"/>
      <color rgb="FF888888"/>
      <sz val="9"/>
    </font>
    <font>
      <name val="Calibri"/>
      <b val="1"/>
      <color rgb="FFA32D2D"/>
      <sz val="9"/>
    </font>
    <font>
      <name val="Calibri"/>
      <i val="1"/>
      <color rgb="FF185FA5"/>
      <sz val="9"/>
    </font>
  </fonts>
  <fills count="14">
    <fill>
      <patternFill/>
    </fill>
    <fill>
      <patternFill patternType="gray125"/>
    </fill>
    <fill>
      <patternFill patternType="solid">
        <fgColor rgb="FF1A1A18"/>
      </patternFill>
    </fill>
    <fill>
      <patternFill patternType="solid">
        <fgColor rgb="FFF5F4F0"/>
      </patternFill>
    </fill>
    <fill>
      <patternFill patternType="solid">
        <fgColor rgb="FFFAFAF8"/>
      </patternFill>
    </fill>
    <fill>
      <patternFill patternType="solid">
        <fgColor rgb="FFFFFFFF"/>
      </patternFill>
    </fill>
    <fill>
      <patternFill patternType="solid">
        <fgColor rgb="FF185FA5"/>
      </patternFill>
    </fill>
    <fill>
      <patternFill patternType="solid">
        <fgColor rgb="FFD1ECF1"/>
      </patternFill>
    </fill>
    <fill>
      <patternFill patternType="solid">
        <fgColor rgb="FFFDECEA"/>
      </patternFill>
    </fill>
    <fill>
      <patternFill patternType="solid">
        <fgColor rgb="FF0F6E56"/>
      </patternFill>
    </fill>
    <fill>
      <patternFill patternType="solid">
        <fgColor rgb="FF854F0B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A32D2D"/>
      </patternFill>
    </fill>
  </fills>
  <borders count="6">
    <border>
      <left/>
      <right/>
      <top/>
      <bottom/>
      <diagonal/>
    </border>
    <border>
      <left style="thin">
        <color rgb="FFE0DDD5"/>
      </left>
      <right style="thin">
        <color rgb="FFE0DDD5"/>
      </right>
      <top style="thin">
        <color rgb="FFE0DDD5"/>
      </top>
      <bottom style="thin">
        <color rgb="FFE0DDD5"/>
      </bottom>
    </border>
    <border>
      <left/>
      <right/>
      <top style="thin">
        <color rgb="FFE0DDD5"/>
      </top>
      <bottom/>
      <diagonal/>
    </border>
    <border>
      <left/>
      <right style="thin">
        <color rgb="FFE0DDD5"/>
      </right>
      <top style="thin">
        <color rgb="FFE0DDD5"/>
      </top>
      <bottom/>
      <diagonal/>
    </border>
    <border>
      <left/>
      <right/>
      <top style="thin">
        <color rgb="FFE0DDD5"/>
      </top>
      <bottom style="thin">
        <color rgb="FFE0DDD5"/>
      </bottom>
      <diagonal/>
    </border>
    <border>
      <left/>
      <right style="thin">
        <color rgb="FFE0DDD5"/>
      </right>
      <top style="thin">
        <color rgb="FFE0DDD5"/>
      </top>
      <bottom style="thin">
        <color rgb="FFE0DDD5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3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0" customWidth="1" min="4" max="4"/>
    <col width="16" customWidth="1" min="5" max="5"/>
    <col width="14" customWidth="1" min="6" max="6"/>
    <col width="16" customWidth="1" min="7" max="7"/>
    <col width="14" customWidth="1" min="8" max="8"/>
    <col width="18" customWidth="1" min="9" max="9"/>
  </cols>
  <sheetData>
    <row r="1" ht="40" customHeight="1">
      <c r="A1" s="1" t="inlineStr">
        <is>
          <t>Q1 · Revenue &amp; Orders Trend — What are the trends in website sessions and order volumes?</t>
        </is>
      </c>
    </row>
    <row r="2" ht="18" customHeight="1">
      <c r="A2" s="2" t="inlineStr">
        <is>
          <t>Answers: Marketing Q1 (order volume trends) | Revenue Q1 (revenue &amp; profit trend)</t>
        </is>
      </c>
    </row>
    <row r="3" ht="8" customHeight="1"/>
    <row r="4" ht="8" customHeight="1"/>
    <row r="5" ht="26" customHeight="1">
      <c r="A5" s="3" t="inlineStr">
        <is>
          <t>Year</t>
        </is>
      </c>
      <c r="B5" s="3" t="inlineStr">
        <is>
          <t>Month</t>
        </is>
      </c>
      <c r="C5" s="3" t="inlineStr">
        <is>
          <t>Month_Label</t>
        </is>
      </c>
      <c r="D5" s="3" t="inlineStr">
        <is>
          <t>Orders</t>
        </is>
      </c>
      <c r="E5" s="3" t="inlineStr">
        <is>
          <t>Revenue_USD</t>
        </is>
      </c>
      <c r="F5" s="3" t="inlineStr">
        <is>
          <t>COGS_USD</t>
        </is>
      </c>
      <c r="G5" s="3" t="inlineStr">
        <is>
          <t>Gross_Profit_USD</t>
        </is>
      </c>
      <c r="H5" s="3" t="inlineStr">
        <is>
          <t>Gross_Margin_Pct</t>
        </is>
      </c>
      <c r="I5" s="3" t="inlineStr">
        <is>
          <t>Avg_Order_Value_USD</t>
        </is>
      </c>
    </row>
    <row r="6" ht="18" customHeight="1">
      <c r="A6" s="4" t="n">
        <v>2012</v>
      </c>
      <c r="B6" s="4" t="n">
        <v>3</v>
      </c>
      <c r="C6" s="4" t="inlineStr">
        <is>
          <t>2012-03</t>
        </is>
      </c>
      <c r="D6" s="5" t="n">
        <v>60</v>
      </c>
      <c r="E6" s="5" t="n">
        <v>2999.4</v>
      </c>
      <c r="F6" s="5" t="n">
        <v>1117.58</v>
      </c>
      <c r="G6" s="5" t="n">
        <v>1881.82</v>
      </c>
      <c r="H6" s="5" t="n">
        <v>62.7</v>
      </c>
      <c r="I6" s="5" t="n">
        <v>49.99</v>
      </c>
    </row>
    <row r="7" ht="18" customHeight="1">
      <c r="A7" s="6" t="n">
        <v>2012</v>
      </c>
      <c r="B7" s="6" t="n">
        <v>4</v>
      </c>
      <c r="C7" s="6" t="inlineStr">
        <is>
          <t>2012-04</t>
        </is>
      </c>
      <c r="D7" s="7" t="n">
        <v>99</v>
      </c>
      <c r="E7" s="7" t="n">
        <v>4949.01</v>
      </c>
      <c r="F7" s="7" t="n">
        <v>1844</v>
      </c>
      <c r="G7" s="7" t="n">
        <v>3105.01</v>
      </c>
      <c r="H7" s="7" t="n">
        <v>62.7</v>
      </c>
      <c r="I7" s="7" t="n">
        <v>49.99</v>
      </c>
    </row>
    <row r="8" ht="18" customHeight="1">
      <c r="A8" s="4" t="n">
        <v>2012</v>
      </c>
      <c r="B8" s="4" t="n">
        <v>5</v>
      </c>
      <c r="C8" s="4" t="inlineStr">
        <is>
          <t>2012-05</t>
        </is>
      </c>
      <c r="D8" s="5" t="n">
        <v>108</v>
      </c>
      <c r="E8" s="5" t="n">
        <v>5398.92</v>
      </c>
      <c r="F8" s="5" t="n">
        <v>2011.64</v>
      </c>
      <c r="G8" s="5" t="n">
        <v>3387.28</v>
      </c>
      <c r="H8" s="5" t="n">
        <v>62.7</v>
      </c>
      <c r="I8" s="5" t="n">
        <v>49.99</v>
      </c>
    </row>
    <row r="9" ht="18" customHeight="1">
      <c r="A9" s="6" t="n">
        <v>2012</v>
      </c>
      <c r="B9" s="6" t="n">
        <v>6</v>
      </c>
      <c r="C9" s="6" t="inlineStr">
        <is>
          <t>2012-06</t>
        </is>
      </c>
      <c r="D9" s="7" t="n">
        <v>140</v>
      </c>
      <c r="E9" s="7" t="n">
        <v>6998.6</v>
      </c>
      <c r="F9" s="7" t="n">
        <v>2607.68</v>
      </c>
      <c r="G9" s="7" t="n">
        <v>4390.92</v>
      </c>
      <c r="H9" s="7" t="n">
        <v>62.7</v>
      </c>
      <c r="I9" s="7" t="n">
        <v>49.99</v>
      </c>
    </row>
    <row r="10" ht="18" customHeight="1">
      <c r="A10" s="4" t="n">
        <v>2012</v>
      </c>
      <c r="B10" s="4" t="n">
        <v>7</v>
      </c>
      <c r="C10" s="4" t="inlineStr">
        <is>
          <t>2012-07</t>
        </is>
      </c>
      <c r="D10" s="5" t="n">
        <v>169</v>
      </c>
      <c r="E10" s="5" t="n">
        <v>8448.309999999999</v>
      </c>
      <c r="F10" s="5" t="n">
        <v>3147.84</v>
      </c>
      <c r="G10" s="5" t="n">
        <v>5300.47</v>
      </c>
      <c r="H10" s="5" t="n">
        <v>62.7</v>
      </c>
      <c r="I10" s="5" t="n">
        <v>49.99</v>
      </c>
    </row>
    <row r="11" ht="18" customHeight="1">
      <c r="A11" s="6" t="n">
        <v>2012</v>
      </c>
      <c r="B11" s="6" t="n">
        <v>8</v>
      </c>
      <c r="C11" s="6" t="inlineStr">
        <is>
          <t>2012-08</t>
        </is>
      </c>
      <c r="D11" s="7" t="n">
        <v>228</v>
      </c>
      <c r="E11" s="7" t="n">
        <v>11397.72</v>
      </c>
      <c r="F11" s="7" t="n">
        <v>4246.79</v>
      </c>
      <c r="G11" s="7" t="n">
        <v>7150.93</v>
      </c>
      <c r="H11" s="7" t="n">
        <v>62.7</v>
      </c>
      <c r="I11" s="7" t="n">
        <v>49.99</v>
      </c>
    </row>
    <row r="12" ht="18" customHeight="1">
      <c r="A12" s="4" t="n">
        <v>2012</v>
      </c>
      <c r="B12" s="4" t="n">
        <v>9</v>
      </c>
      <c r="C12" s="4" t="inlineStr">
        <is>
          <t>2012-09</t>
        </is>
      </c>
      <c r="D12" s="5" t="n">
        <v>287</v>
      </c>
      <c r="E12" s="5" t="n">
        <v>14347.13</v>
      </c>
      <c r="F12" s="5" t="n">
        <v>5345.74</v>
      </c>
      <c r="G12" s="5" t="n">
        <v>9001.389999999999</v>
      </c>
      <c r="H12" s="5" t="n">
        <v>62.7</v>
      </c>
      <c r="I12" s="5" t="n">
        <v>49.99</v>
      </c>
    </row>
    <row r="13" ht="18" customHeight="1">
      <c r="A13" s="6" t="n">
        <v>2012</v>
      </c>
      <c r="B13" s="6" t="n">
        <v>10</v>
      </c>
      <c r="C13" s="6" t="inlineStr">
        <is>
          <t>2012-10</t>
        </is>
      </c>
      <c r="D13" s="7" t="n">
        <v>371</v>
      </c>
      <c r="E13" s="7" t="n">
        <v>18546.29</v>
      </c>
      <c r="F13" s="7" t="n">
        <v>6910.35</v>
      </c>
      <c r="G13" s="7" t="n">
        <v>11635.94</v>
      </c>
      <c r="H13" s="7" t="n">
        <v>62.7</v>
      </c>
      <c r="I13" s="7" t="n">
        <v>49.99</v>
      </c>
    </row>
    <row r="14" ht="18" customHeight="1">
      <c r="A14" s="4" t="n">
        <v>2012</v>
      </c>
      <c r="B14" s="4" t="n">
        <v>11</v>
      </c>
      <c r="C14" s="4" t="inlineStr">
        <is>
          <t>2012-11</t>
        </is>
      </c>
      <c r="D14" s="5" t="n">
        <v>618</v>
      </c>
      <c r="E14" s="5" t="n">
        <v>30893.82</v>
      </c>
      <c r="F14" s="5" t="n">
        <v>11511.04</v>
      </c>
      <c r="G14" s="5" t="n">
        <v>19382.78</v>
      </c>
      <c r="H14" s="5" t="n">
        <v>62.7</v>
      </c>
      <c r="I14" s="5" t="n">
        <v>49.99</v>
      </c>
    </row>
    <row r="15" ht="18" customHeight="1">
      <c r="A15" s="6" t="n">
        <v>2012</v>
      </c>
      <c r="B15" s="6" t="n">
        <v>12</v>
      </c>
      <c r="C15" s="6" t="inlineStr">
        <is>
          <t>2012-12</t>
        </is>
      </c>
      <c r="D15" s="7" t="n">
        <v>506</v>
      </c>
      <c r="E15" s="7" t="n">
        <v>25294.94</v>
      </c>
      <c r="F15" s="7" t="n">
        <v>9424.889999999999</v>
      </c>
      <c r="G15" s="7" t="n">
        <v>15870.05</v>
      </c>
      <c r="H15" s="7" t="n">
        <v>62.7</v>
      </c>
      <c r="I15" s="7" t="n">
        <v>49.99</v>
      </c>
    </row>
    <row r="16" ht="18" customHeight="1">
      <c r="A16" s="4" t="n">
        <v>2013</v>
      </c>
      <c r="B16" s="4" t="n">
        <v>1</v>
      </c>
      <c r="C16" s="4" t="inlineStr">
        <is>
          <t>2013-01</t>
        </is>
      </c>
      <c r="D16" s="5" t="n">
        <v>390</v>
      </c>
      <c r="E16" s="5" t="n">
        <v>19966.1</v>
      </c>
      <c r="F16" s="5" t="n">
        <v>7439.37</v>
      </c>
      <c r="G16" s="5" t="n">
        <v>12526.73</v>
      </c>
      <c r="H16" s="5" t="n">
        <v>62.7</v>
      </c>
      <c r="I16" s="5" t="n">
        <v>51.2</v>
      </c>
    </row>
    <row r="17" ht="18" customHeight="1">
      <c r="A17" s="6" t="n">
        <v>2013</v>
      </c>
      <c r="B17" s="6" t="n">
        <v>2</v>
      </c>
      <c r="C17" s="6" t="inlineStr">
        <is>
          <t>2013-02</t>
        </is>
      </c>
      <c r="D17" s="7" t="n">
        <v>498</v>
      </c>
      <c r="E17" s="7" t="n">
        <v>26515.02</v>
      </c>
      <c r="F17" s="7" t="n">
        <v>9879.5</v>
      </c>
      <c r="G17" s="7" t="n">
        <v>16635.52</v>
      </c>
      <c r="H17" s="7" t="n">
        <v>62.7</v>
      </c>
      <c r="I17" s="7" t="n">
        <v>53.24</v>
      </c>
    </row>
    <row r="18" ht="18" customHeight="1">
      <c r="A18" s="4" t="n">
        <v>2013</v>
      </c>
      <c r="B18" s="4" t="n">
        <v>3</v>
      </c>
      <c r="C18" s="4" t="inlineStr">
        <is>
          <t>2013-03</t>
        </is>
      </c>
      <c r="D18" s="5" t="n">
        <v>385</v>
      </c>
      <c r="E18" s="5" t="n">
        <v>19896.15</v>
      </c>
      <c r="F18" s="5" t="n">
        <v>7413.31</v>
      </c>
      <c r="G18" s="5" t="n">
        <v>12482.84</v>
      </c>
      <c r="H18" s="5" t="n">
        <v>62.7</v>
      </c>
      <c r="I18" s="5" t="n">
        <v>51.68</v>
      </c>
    </row>
    <row r="19" ht="18" customHeight="1">
      <c r="A19" s="6" t="n">
        <v>2013</v>
      </c>
      <c r="B19" s="6" t="n">
        <v>4</v>
      </c>
      <c r="C19" s="6" t="inlineStr">
        <is>
          <t>2013-04</t>
        </is>
      </c>
      <c r="D19" s="7" t="n">
        <v>553</v>
      </c>
      <c r="E19" s="7" t="n">
        <v>28584.47</v>
      </c>
      <c r="F19" s="7" t="n">
        <v>10650.57</v>
      </c>
      <c r="G19" s="7" t="n">
        <v>17933.9</v>
      </c>
      <c r="H19" s="7" t="n">
        <v>62.7</v>
      </c>
      <c r="I19" s="7" t="n">
        <v>51.69</v>
      </c>
    </row>
    <row r="20" ht="18" customHeight="1">
      <c r="A20" s="4" t="n">
        <v>2013</v>
      </c>
      <c r="B20" s="4" t="n">
        <v>5</v>
      </c>
      <c r="C20" s="4" t="inlineStr">
        <is>
          <t>2013-05</t>
        </is>
      </c>
      <c r="D20" s="5" t="n">
        <v>571</v>
      </c>
      <c r="E20" s="5" t="n">
        <v>29364.29</v>
      </c>
      <c r="F20" s="5" t="n">
        <v>10941.13</v>
      </c>
      <c r="G20" s="5" t="n">
        <v>18423.16</v>
      </c>
      <c r="H20" s="5" t="n">
        <v>62.7</v>
      </c>
      <c r="I20" s="5" t="n">
        <v>51.43</v>
      </c>
    </row>
    <row r="21" ht="18" customHeight="1">
      <c r="A21" s="6" t="n">
        <v>2013</v>
      </c>
      <c r="B21" s="6" t="n">
        <v>6</v>
      </c>
      <c r="C21" s="6" t="inlineStr">
        <is>
          <t>2013-06</t>
        </is>
      </c>
      <c r="D21" s="7" t="n">
        <v>593</v>
      </c>
      <c r="E21" s="7" t="n">
        <v>30544.07</v>
      </c>
      <c r="F21" s="7" t="n">
        <v>11380.72</v>
      </c>
      <c r="G21" s="7" t="n">
        <v>19163.35</v>
      </c>
      <c r="H21" s="7" t="n">
        <v>62.7</v>
      </c>
      <c r="I21" s="7" t="n">
        <v>51.51</v>
      </c>
    </row>
    <row r="22" ht="18" customHeight="1">
      <c r="A22" s="4" t="n">
        <v>2013</v>
      </c>
      <c r="B22" s="4" t="n">
        <v>7</v>
      </c>
      <c r="C22" s="4" t="inlineStr">
        <is>
          <t>2013-07</t>
        </is>
      </c>
      <c r="D22" s="5" t="n">
        <v>604</v>
      </c>
      <c r="E22" s="5" t="n">
        <v>31143.96</v>
      </c>
      <c r="F22" s="5" t="n">
        <v>11604.24</v>
      </c>
      <c r="G22" s="5" t="n">
        <v>19539.72</v>
      </c>
      <c r="H22" s="5" t="n">
        <v>62.7</v>
      </c>
      <c r="I22" s="5" t="n">
        <v>51.56</v>
      </c>
    </row>
    <row r="23" ht="18" customHeight="1">
      <c r="A23" s="6" t="n">
        <v>2013</v>
      </c>
      <c r="B23" s="6" t="n">
        <v>8</v>
      </c>
      <c r="C23" s="6" t="inlineStr">
        <is>
          <t>2013-08</t>
        </is>
      </c>
      <c r="D23" s="7" t="n">
        <v>608</v>
      </c>
      <c r="E23" s="7" t="n">
        <v>31373.92</v>
      </c>
      <c r="F23" s="7" t="n">
        <v>11689.92</v>
      </c>
      <c r="G23" s="7" t="n">
        <v>19684</v>
      </c>
      <c r="H23" s="7" t="n">
        <v>62.7</v>
      </c>
      <c r="I23" s="7" t="n">
        <v>51.6</v>
      </c>
    </row>
    <row r="24" ht="18" customHeight="1">
      <c r="A24" s="4" t="n">
        <v>2013</v>
      </c>
      <c r="B24" s="4" t="n">
        <v>9</v>
      </c>
      <c r="C24" s="4" t="inlineStr">
        <is>
          <t>2013-09</t>
        </is>
      </c>
      <c r="D24" s="5" t="n">
        <v>629</v>
      </c>
      <c r="E24" s="5" t="n">
        <v>32723.65</v>
      </c>
      <c r="F24" s="5" t="n">
        <v>12192.83</v>
      </c>
      <c r="G24" s="5" t="n">
        <v>20530.82</v>
      </c>
      <c r="H24" s="5" t="n">
        <v>62.7</v>
      </c>
      <c r="I24" s="5" t="n">
        <v>52.02</v>
      </c>
    </row>
    <row r="25" ht="18" customHeight="1">
      <c r="A25" s="6" t="n">
        <v>2013</v>
      </c>
      <c r="B25" s="6" t="n">
        <v>10</v>
      </c>
      <c r="C25" s="6" t="inlineStr">
        <is>
          <t>2013-10</t>
        </is>
      </c>
      <c r="D25" s="7" t="n">
        <v>708</v>
      </c>
      <c r="E25" s="7" t="n">
        <v>38242.62</v>
      </c>
      <c r="F25" s="7" t="n">
        <v>14249.2</v>
      </c>
      <c r="G25" s="7" t="n">
        <v>23993.42</v>
      </c>
      <c r="H25" s="7" t="n">
        <v>62.7</v>
      </c>
      <c r="I25" s="7" t="n">
        <v>54.02</v>
      </c>
    </row>
    <row r="26" ht="18" customHeight="1">
      <c r="A26" s="4" t="n">
        <v>2013</v>
      </c>
      <c r="B26" s="4" t="n">
        <v>11</v>
      </c>
      <c r="C26" s="4" t="inlineStr">
        <is>
          <t>2013-11</t>
        </is>
      </c>
      <c r="D26" s="5" t="n">
        <v>861</v>
      </c>
      <c r="E26" s="5" t="n">
        <v>46631.02</v>
      </c>
      <c r="F26" s="5" t="n">
        <v>17374.72</v>
      </c>
      <c r="G26" s="5" t="n">
        <v>29256.3</v>
      </c>
      <c r="H26" s="5" t="n">
        <v>62.7</v>
      </c>
      <c r="I26" s="5" t="n">
        <v>54.16</v>
      </c>
    </row>
    <row r="27" ht="18" customHeight="1">
      <c r="A27" s="6" t="n">
        <v>2013</v>
      </c>
      <c r="B27" s="6" t="n">
        <v>12</v>
      </c>
      <c r="C27" s="6" t="inlineStr">
        <is>
          <t>2013-12</t>
        </is>
      </c>
      <c r="D27" s="7" t="n">
        <v>1047</v>
      </c>
      <c r="E27" s="7" t="n">
        <v>58262.6</v>
      </c>
      <c r="F27" s="7" t="n">
        <v>21708.64</v>
      </c>
      <c r="G27" s="7" t="n">
        <v>36553.96</v>
      </c>
      <c r="H27" s="7" t="n">
        <v>62.7</v>
      </c>
      <c r="I27" s="7" t="n">
        <v>55.65</v>
      </c>
    </row>
    <row r="28" ht="18" customHeight="1">
      <c r="A28" s="4" t="n">
        <v>2014</v>
      </c>
      <c r="B28" s="4" t="n">
        <v>1</v>
      </c>
      <c r="C28" s="4" t="inlineStr">
        <is>
          <t>2014-01</t>
        </is>
      </c>
      <c r="D28" s="5" t="n">
        <v>982</v>
      </c>
      <c r="E28" s="5" t="n">
        <v>56568.89</v>
      </c>
      <c r="F28" s="5" t="n">
        <v>21077.57</v>
      </c>
      <c r="G28" s="5" t="n">
        <v>35491.32</v>
      </c>
      <c r="H28" s="5" t="n">
        <v>62.7</v>
      </c>
      <c r="I28" s="5" t="n">
        <v>57.61</v>
      </c>
    </row>
    <row r="29" ht="18" customHeight="1">
      <c r="A29" s="6" t="n">
        <v>2014</v>
      </c>
      <c r="B29" s="6" t="n">
        <v>2</v>
      </c>
      <c r="C29" s="6" t="inlineStr">
        <is>
          <t>2014-02</t>
        </is>
      </c>
      <c r="D29" s="7" t="n">
        <v>1021</v>
      </c>
      <c r="E29" s="7" t="n">
        <v>66012.52</v>
      </c>
      <c r="F29" s="7" t="n">
        <v>24596.26</v>
      </c>
      <c r="G29" s="7" t="n">
        <v>41416.26</v>
      </c>
      <c r="H29" s="7" t="n">
        <v>62.7</v>
      </c>
      <c r="I29" s="7" t="n">
        <v>64.65000000000001</v>
      </c>
    </row>
    <row r="30" ht="18" customHeight="1">
      <c r="A30" s="4" t="n">
        <v>2014</v>
      </c>
      <c r="B30" s="4" t="n">
        <v>3</v>
      </c>
      <c r="C30" s="4" t="inlineStr">
        <is>
          <t>2014-03</t>
        </is>
      </c>
      <c r="D30" s="5" t="n">
        <v>1066</v>
      </c>
      <c r="E30" s="5" t="n">
        <v>68189.73</v>
      </c>
      <c r="F30" s="5" t="n">
        <v>25407.49</v>
      </c>
      <c r="G30" s="5" t="n">
        <v>42782.24</v>
      </c>
      <c r="H30" s="5" t="n">
        <v>62.7</v>
      </c>
      <c r="I30" s="5" t="n">
        <v>63.97</v>
      </c>
    </row>
    <row r="31" ht="18" customHeight="1">
      <c r="A31" s="6" t="n">
        <v>2014</v>
      </c>
      <c r="B31" s="6" t="n">
        <v>4</v>
      </c>
      <c r="C31" s="6" t="inlineStr">
        <is>
          <t>2014-04</t>
        </is>
      </c>
      <c r="D31" s="7" t="n">
        <v>1241</v>
      </c>
      <c r="E31" s="7" t="n">
        <v>78725.42999999999</v>
      </c>
      <c r="F31" s="7" t="n">
        <v>29333.1</v>
      </c>
      <c r="G31" s="7" t="n">
        <v>49392.33</v>
      </c>
      <c r="H31" s="7" t="n">
        <v>62.7</v>
      </c>
      <c r="I31" s="7" t="n">
        <v>63.44</v>
      </c>
    </row>
    <row r="32" ht="18" customHeight="1">
      <c r="A32" s="4" t="n">
        <v>2014</v>
      </c>
      <c r="B32" s="4" t="n">
        <v>5</v>
      </c>
      <c r="C32" s="4" t="inlineStr">
        <is>
          <t>2014-05</t>
        </is>
      </c>
      <c r="D32" s="5" t="n">
        <v>1368</v>
      </c>
      <c r="E32" s="5" t="n">
        <v>88935.27</v>
      </c>
      <c r="F32" s="5" t="n">
        <v>33137.28</v>
      </c>
      <c r="G32" s="5" t="n">
        <v>55797.99</v>
      </c>
      <c r="H32" s="5" t="n">
        <v>62.7</v>
      </c>
      <c r="I32" s="5" t="n">
        <v>65.01000000000001</v>
      </c>
    </row>
    <row r="33" ht="18" customHeight="1">
      <c r="A33" s="6" t="n">
        <v>2014</v>
      </c>
      <c r="B33" s="6" t="n">
        <v>6</v>
      </c>
      <c r="C33" s="6" t="inlineStr">
        <is>
          <t>2014-06</t>
        </is>
      </c>
      <c r="D33" s="7" t="n">
        <v>1239</v>
      </c>
      <c r="E33" s="7" t="n">
        <v>80051.25</v>
      </c>
      <c r="F33" s="7" t="n">
        <v>29827.1</v>
      </c>
      <c r="G33" s="7" t="n">
        <v>50224.15</v>
      </c>
      <c r="H33" s="7" t="n">
        <v>62.7</v>
      </c>
      <c r="I33" s="7" t="n">
        <v>64.61</v>
      </c>
    </row>
    <row r="34" ht="18" customHeight="1">
      <c r="A34" s="4" t="n">
        <v>2014</v>
      </c>
      <c r="B34" s="4" t="n">
        <v>7</v>
      </c>
      <c r="C34" s="4" t="inlineStr">
        <is>
          <t>2014-07</t>
        </is>
      </c>
      <c r="D34" s="5" t="n">
        <v>1286</v>
      </c>
      <c r="E34" s="5" t="n">
        <v>83288.55</v>
      </c>
      <c r="F34" s="5" t="n">
        <v>31033.31</v>
      </c>
      <c r="G34" s="5" t="n">
        <v>52255.24</v>
      </c>
      <c r="H34" s="5" t="n">
        <v>62.7</v>
      </c>
      <c r="I34" s="5" t="n">
        <v>64.77</v>
      </c>
    </row>
    <row r="35" ht="18" customHeight="1">
      <c r="A35" s="6" t="n">
        <v>2014</v>
      </c>
      <c r="B35" s="6" t="n">
        <v>8</v>
      </c>
      <c r="C35" s="6" t="inlineStr">
        <is>
          <t>2014-08</t>
        </is>
      </c>
      <c r="D35" s="7" t="n">
        <v>1325</v>
      </c>
      <c r="E35" s="7" t="n">
        <v>84716.08</v>
      </c>
      <c r="F35" s="7" t="n">
        <v>31565.21</v>
      </c>
      <c r="G35" s="7" t="n">
        <v>53150.87</v>
      </c>
      <c r="H35" s="7" t="n">
        <v>62.7</v>
      </c>
      <c r="I35" s="7" t="n">
        <v>63.94</v>
      </c>
    </row>
    <row r="36" ht="18" customHeight="1">
      <c r="A36" s="4" t="n">
        <v>2014</v>
      </c>
      <c r="B36" s="4" t="n">
        <v>9</v>
      </c>
      <c r="C36" s="4" t="inlineStr">
        <is>
          <t>2014-09</t>
        </is>
      </c>
      <c r="D36" s="5" t="n">
        <v>1424</v>
      </c>
      <c r="E36" s="5" t="n">
        <v>92232.49000000001</v>
      </c>
      <c r="F36" s="5" t="n">
        <v>34365.83</v>
      </c>
      <c r="G36" s="5" t="n">
        <v>57866.66</v>
      </c>
      <c r="H36" s="5" t="n">
        <v>62.7</v>
      </c>
      <c r="I36" s="5" t="n">
        <v>64.77</v>
      </c>
    </row>
    <row r="37" ht="18" customHeight="1">
      <c r="A37" s="6" t="n">
        <v>2014</v>
      </c>
      <c r="B37" s="6" t="n">
        <v>10</v>
      </c>
      <c r="C37" s="6" t="inlineStr">
        <is>
          <t>2014-10</t>
        </is>
      </c>
      <c r="D37" s="7" t="n">
        <v>1609</v>
      </c>
      <c r="E37" s="7" t="n">
        <v>103905.98</v>
      </c>
      <c r="F37" s="7" t="n">
        <v>38715.37</v>
      </c>
      <c r="G37" s="7" t="n">
        <v>65190.61</v>
      </c>
      <c r="H37" s="7" t="n">
        <v>62.7</v>
      </c>
      <c r="I37" s="7" t="n">
        <v>64.58</v>
      </c>
    </row>
    <row r="38" ht="18" customHeight="1">
      <c r="A38" s="4" t="n">
        <v>2014</v>
      </c>
      <c r="B38" s="4" t="n">
        <v>11</v>
      </c>
      <c r="C38" s="4" t="inlineStr">
        <is>
          <t>2014-11</t>
        </is>
      </c>
      <c r="D38" s="5" t="n">
        <v>1985</v>
      </c>
      <c r="E38" s="5" t="n">
        <v>128162.98</v>
      </c>
      <c r="F38" s="5" t="n">
        <v>47753.53</v>
      </c>
      <c r="G38" s="5" t="n">
        <v>80409.45</v>
      </c>
      <c r="H38" s="5" t="n">
        <v>62.7</v>
      </c>
      <c r="I38" s="5" t="n">
        <v>64.56999999999999</v>
      </c>
    </row>
    <row r="39" ht="18" customHeight="1">
      <c r="A39" s="6" t="n">
        <v>2014</v>
      </c>
      <c r="B39" s="6" t="n">
        <v>12</v>
      </c>
      <c r="C39" s="6" t="inlineStr">
        <is>
          <t>2014-12</t>
        </is>
      </c>
      <c r="D39" s="7" t="n">
        <v>2314</v>
      </c>
      <c r="E39" s="7" t="n">
        <v>144823.02</v>
      </c>
      <c r="F39" s="7" t="n">
        <v>53961.06</v>
      </c>
      <c r="G39" s="7" t="n">
        <v>90861.96000000001</v>
      </c>
      <c r="H39" s="7" t="n">
        <v>62.7</v>
      </c>
      <c r="I39" s="7" t="n">
        <v>62.59</v>
      </c>
    </row>
    <row r="40" ht="18" customHeight="1">
      <c r="A40" s="4" t="n">
        <v>2015</v>
      </c>
      <c r="B40" s="4" t="n">
        <v>1</v>
      </c>
      <c r="C40" s="4" t="inlineStr">
        <is>
          <t>2015-01</t>
        </is>
      </c>
      <c r="D40" s="5" t="n">
        <v>2098</v>
      </c>
      <c r="E40" s="5" t="n">
        <v>132211.54</v>
      </c>
      <c r="F40" s="5" t="n">
        <v>49262.02</v>
      </c>
      <c r="G40" s="5" t="n">
        <v>82949.52</v>
      </c>
      <c r="H40" s="5" t="n">
        <v>62.7</v>
      </c>
      <c r="I40" s="5" t="n">
        <v>63.02</v>
      </c>
    </row>
    <row r="41" ht="18" customHeight="1">
      <c r="A41" s="6" t="n">
        <v>2015</v>
      </c>
      <c r="B41" s="6" t="n">
        <v>2</v>
      </c>
      <c r="C41" s="6" t="inlineStr">
        <is>
          <t>2015-02</t>
        </is>
      </c>
      <c r="D41" s="7" t="n">
        <v>2068</v>
      </c>
      <c r="E41" s="7" t="n">
        <v>129212.94</v>
      </c>
      <c r="F41" s="7" t="n">
        <v>48144.74</v>
      </c>
      <c r="G41" s="7" t="n">
        <v>81068.2</v>
      </c>
      <c r="H41" s="7" t="n">
        <v>62.7</v>
      </c>
      <c r="I41" s="7" t="n">
        <v>62.48</v>
      </c>
    </row>
    <row r="42" ht="18" customHeight="1">
      <c r="A42" s="4" t="n">
        <v>2015</v>
      </c>
      <c r="B42" s="4" t="n">
        <v>3</v>
      </c>
      <c r="C42" s="4" t="inlineStr">
        <is>
          <t>2015-03</t>
        </is>
      </c>
      <c r="D42" s="5" t="n">
        <v>1254</v>
      </c>
      <c r="E42" s="5" t="n">
        <v>78951.07000000001</v>
      </c>
      <c r="F42" s="5" t="n">
        <v>29417.17</v>
      </c>
      <c r="G42" s="5" t="n">
        <v>49533.9</v>
      </c>
      <c r="H42" s="5" t="n">
        <v>62.7</v>
      </c>
      <c r="I42" s="5" t="n">
        <v>62.96</v>
      </c>
    </row>
    <row r="43" ht="22" customHeight="1">
      <c r="A43" s="8" t="inlineStr">
        <is>
          <t>TOTAL / AVERAGE</t>
        </is>
      </c>
      <c r="D43" s="9">
        <f>SUM(D6:D42)</f>
        <v/>
      </c>
      <c r="E43" s="9">
        <f>SUM(E6:E42)</f>
        <v/>
      </c>
      <c r="F43" s="9">
        <f>SUM(F6:F42)</f>
        <v/>
      </c>
      <c r="G43" s="9">
        <f>SUM(G6:G42)</f>
        <v/>
      </c>
      <c r="H43" s="9">
        <f>AVERAGE(H6:H42)</f>
        <v/>
      </c>
      <c r="I43" s="9">
        <f>AVERAGE(I6:I42)</f>
        <v/>
      </c>
    </row>
  </sheetData>
  <mergeCells count="3">
    <mergeCell ref="A43:C4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4" customWidth="1" min="4" max="4"/>
    <col width="16" customWidth="1" min="5" max="5"/>
    <col width="14" customWidth="1" min="6" max="6"/>
    <col width="18" customWidth="1" min="7" max="7"/>
    <col width="18" customWidth="1" min="8" max="8"/>
    <col width="18" customWidth="1" min="9" max="9"/>
  </cols>
  <sheetData>
    <row r="1" ht="40" customHeight="1">
      <c r="A1" s="1" t="inlineStr">
        <is>
          <t>Q1 · Yearly KPIs &amp; Growth — How have conversion rates and order volumes evolved over time?</t>
        </is>
      </c>
    </row>
    <row r="2" ht="18" customHeight="1">
      <c r="A2" s="2" t="inlineStr">
        <is>
          <t>Answers: Marketing Q1 (order volumes) | Marketing Q3 (conversion rate evolution) | Revenue Q1 (revenue trend)</t>
        </is>
      </c>
    </row>
    <row r="3" ht="8" customHeight="1"/>
    <row r="5" ht="26" customHeight="1">
      <c r="A5" s="3" t="inlineStr">
        <is>
          <t>Year</t>
        </is>
      </c>
      <c r="B5" s="3" t="inlineStr">
        <is>
          <t>Total_Orders</t>
        </is>
      </c>
      <c r="C5" s="3" t="inlineStr">
        <is>
          <t>Revenue_USD</t>
        </is>
      </c>
      <c r="D5" s="3" t="inlineStr">
        <is>
          <t>COGS_USD</t>
        </is>
      </c>
      <c r="E5" s="3" t="inlineStr">
        <is>
          <t>Gross_Profit_USD</t>
        </is>
      </c>
      <c r="F5" s="3" t="inlineStr">
        <is>
          <t>Gross_Margin_Pct</t>
        </is>
      </c>
      <c r="G5" s="3" t="inlineStr">
        <is>
          <t>Avg_Order_Value_USD</t>
        </is>
      </c>
      <c r="H5" s="3" t="inlineStr">
        <is>
          <t>YoY_Orders_Growth_Pct</t>
        </is>
      </c>
      <c r="I5" s="3" t="inlineStr">
        <is>
          <t>YoY_Revenue_Growth_Pct</t>
        </is>
      </c>
    </row>
    <row r="6" ht="20" customHeight="1">
      <c r="A6" s="4" t="n">
        <v>2012</v>
      </c>
      <c r="B6" s="5" t="n">
        <v>2586</v>
      </c>
      <c r="C6" s="5" t="n">
        <v>129274.14</v>
      </c>
      <c r="D6" s="5" t="n">
        <v>48167.54</v>
      </c>
      <c r="E6" s="5" t="n">
        <v>81106.60000000001</v>
      </c>
      <c r="F6" s="5" t="n">
        <v>62.7</v>
      </c>
      <c r="G6" s="5" t="n">
        <v>49.99</v>
      </c>
      <c r="H6" s="5" t="inlineStr">
        <is>
          <t>N/A</t>
        </is>
      </c>
      <c r="I6" s="5" t="inlineStr">
        <is>
          <t>N/A</t>
        </is>
      </c>
    </row>
    <row r="7" ht="20" customHeight="1">
      <c r="A7" s="6" t="n">
        <v>2013</v>
      </c>
      <c r="B7" s="7" t="n">
        <v>7447</v>
      </c>
      <c r="C7" s="7" t="n">
        <v>393247.87</v>
      </c>
      <c r="D7" s="7" t="n">
        <v>146524.16</v>
      </c>
      <c r="E7" s="7" t="n">
        <v>246723.71</v>
      </c>
      <c r="F7" s="7" t="n">
        <v>62.7</v>
      </c>
      <c r="G7" s="7" t="n">
        <v>52.81</v>
      </c>
      <c r="H7" s="7">
        <f>ROUND((B7-B6)/B6*100,1)</f>
        <v/>
      </c>
      <c r="I7" s="7">
        <f>ROUND((C7-C6)/C6*100,1)</f>
        <v/>
      </c>
    </row>
    <row r="8" ht="20" customHeight="1">
      <c r="A8" s="4" t="n">
        <v>2014</v>
      </c>
      <c r="B8" s="5" t="n">
        <v>16860</v>
      </c>
      <c r="C8" s="5" t="n">
        <v>1075612.19</v>
      </c>
      <c r="D8" s="5" t="n">
        <v>400773.1</v>
      </c>
      <c r="E8" s="5" t="n">
        <v>674839.09</v>
      </c>
      <c r="F8" s="5" t="n">
        <v>62.7</v>
      </c>
      <c r="G8" s="5" t="n">
        <v>63.8</v>
      </c>
      <c r="H8" s="5">
        <f>ROUND((B8-B7)/B7*100,1)</f>
        <v/>
      </c>
      <c r="I8" s="5">
        <f>ROUND((C8-C7)/C7*100,1)</f>
        <v/>
      </c>
    </row>
    <row r="9" ht="20" customHeight="1">
      <c r="A9" s="6" t="n">
        <v>2015</v>
      </c>
      <c r="B9" s="7" t="n">
        <v>5420</v>
      </c>
      <c r="C9" s="7" t="n">
        <v>340375.55</v>
      </c>
      <c r="D9" s="7" t="n">
        <v>126823.93</v>
      </c>
      <c r="E9" s="7" t="n">
        <v>213551.62</v>
      </c>
      <c r="F9" s="7" t="n">
        <v>62.7</v>
      </c>
      <c r="G9" s="7" t="n">
        <v>62.8</v>
      </c>
      <c r="H9" s="7">
        <f>ROUND((B9-B8)/B8*100,1)</f>
        <v/>
      </c>
      <c r="I9" s="7">
        <f>ROUND((C9-C8)/C8*100,1)</f>
        <v/>
      </c>
    </row>
    <row r="10" ht="22" customHeight="1">
      <c r="A10" s="3" t="inlineStr">
        <is>
          <t>TOTAL</t>
        </is>
      </c>
      <c r="B10" s="10">
        <f>SUM(B6:B9)</f>
        <v/>
      </c>
      <c r="C10" s="10">
        <f>SUM(C6:C9)</f>
        <v/>
      </c>
      <c r="D10" s="10">
        <f>SUM(D6:D9)</f>
        <v/>
      </c>
      <c r="E10" s="10">
        <f>SUM(E6:E9)</f>
        <v/>
      </c>
      <c r="F10" s="10">
        <f>AVERAGE(F6:F9)</f>
        <v/>
      </c>
      <c r="G10" s="10">
        <f>AVERAGE(G6:G9)</f>
        <v/>
      </c>
      <c r="H10" s="10" t="inlineStr"/>
      <c r="I10" s="10" t="inlineStr"/>
    </row>
  </sheetData>
  <mergeCells count="3">
    <mergeCell ref="A1:I1"/>
    <mergeCell ref="A2:I2"/>
    <mergeCell ref="A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6" customWidth="1" min="7" max="7"/>
    <col width="14" customWidth="1" min="8" max="8"/>
    <col width="12" customWidth="1" min="9" max="9"/>
    <col width="14" customWidth="1" min="10" max="10"/>
    <col width="18" customWidth="1" min="11" max="11"/>
    <col width="22" customWidth="1" min="12" max="12"/>
  </cols>
  <sheetData>
    <row r="1" ht="40" customHeight="1">
      <c r="A1" s="1" t="inlineStr">
        <is>
          <t>Q2 · Revenue &amp; Profitability — Which products contribute most to profit? How do refunds impact revenue?</t>
        </is>
      </c>
    </row>
    <row r="2" ht="18" customHeight="1">
      <c r="A2" s="2" t="inlineStr">
        <is>
          <t>Answers: Revenue Q1 (revenue &amp; avg revenue/order) | Revenue Q2 (product profit contribution) | Revenue Q3 (refund impact)</t>
        </is>
      </c>
    </row>
    <row r="3" ht="8" customHeight="1"/>
    <row r="5" ht="26" customHeight="1">
      <c r="A5" s="3" t="inlineStr">
        <is>
          <t>Product_Name</t>
        </is>
      </c>
      <c r="B5" s="3" t="inlineStr">
        <is>
          <t>Product_ID</t>
        </is>
      </c>
      <c r="C5" s="3" t="inlineStr">
        <is>
          <t>Launch_Date</t>
        </is>
      </c>
      <c r="D5" s="3" t="inlineStr">
        <is>
          <t>Units_Sold</t>
        </is>
      </c>
      <c r="E5" s="3" t="inlineStr">
        <is>
          <t>Revenue_USD</t>
        </is>
      </c>
      <c r="F5" s="3" t="inlineStr">
        <is>
          <t>Revenue_Share_Pct</t>
        </is>
      </c>
      <c r="G5" s="3" t="inlineStr">
        <is>
          <t>Gross_Profit_USD</t>
        </is>
      </c>
      <c r="H5" s="3" t="inlineStr">
        <is>
          <t>Gross_Margin_Pct</t>
        </is>
      </c>
      <c r="I5" s="3" t="inlineStr">
        <is>
          <t>Refund_Count</t>
        </is>
      </c>
      <c r="J5" s="3" t="inlineStr">
        <is>
          <t>Refund_Rate_Pct</t>
        </is>
      </c>
      <c r="K5" s="3" t="inlineStr">
        <is>
          <t>Refund_Amount_USD</t>
        </is>
      </c>
      <c r="L5" s="3" t="inlineStr">
        <is>
          <t>Net_Profit_After_Refunds</t>
        </is>
      </c>
    </row>
    <row r="6" ht="20" customHeight="1">
      <c r="A6" s="11" t="inlineStr">
        <is>
          <t>The Original Mr. Fuzzy</t>
        </is>
      </c>
      <c r="B6" s="4" t="n">
        <v>1</v>
      </c>
      <c r="C6" s="4" t="inlineStr">
        <is>
          <t>2012-03-19</t>
        </is>
      </c>
      <c r="D6" s="5" t="n">
        <v>24226</v>
      </c>
      <c r="E6" s="5" t="n">
        <v>1211057.74</v>
      </c>
      <c r="F6" s="5" t="n">
        <v>62.5</v>
      </c>
      <c r="G6" s="5" t="n">
        <v>738893</v>
      </c>
      <c r="H6" s="5" t="n">
        <v>61</v>
      </c>
      <c r="I6" s="5" t="n">
        <v>1237</v>
      </c>
      <c r="J6" s="5" t="n">
        <v>5.11</v>
      </c>
      <c r="K6" s="5" t="n">
        <v>61837.63</v>
      </c>
      <c r="L6" s="5" t="n">
        <v>677055.37</v>
      </c>
    </row>
    <row r="7" ht="20" customHeight="1">
      <c r="A7" s="12" t="inlineStr">
        <is>
          <t>The Forever Love Bear</t>
        </is>
      </c>
      <c r="B7" s="6" t="n">
        <v>2</v>
      </c>
      <c r="C7" s="6" t="inlineStr">
        <is>
          <t>2013-01-06</t>
        </is>
      </c>
      <c r="D7" s="7" t="n">
        <v>5796</v>
      </c>
      <c r="E7" s="7" t="n">
        <v>347702.04</v>
      </c>
      <c r="F7" s="7" t="n">
        <v>17.9</v>
      </c>
      <c r="G7" s="7" t="n">
        <v>217350</v>
      </c>
      <c r="H7" s="7" t="n">
        <v>62.5</v>
      </c>
      <c r="I7" s="7" t="n">
        <v>129</v>
      </c>
      <c r="J7" s="7" t="n">
        <v>2.23</v>
      </c>
      <c r="K7" s="7" t="n">
        <v>7738.71</v>
      </c>
      <c r="L7" s="7" t="n">
        <v>209611.29</v>
      </c>
    </row>
    <row r="8" ht="20" customHeight="1">
      <c r="A8" s="11" t="inlineStr">
        <is>
          <t>The Birthday Sugar Panda</t>
        </is>
      </c>
      <c r="B8" s="4" t="n">
        <v>3</v>
      </c>
      <c r="C8" s="4" t="inlineStr">
        <is>
          <t>2013-12-12</t>
        </is>
      </c>
      <c r="D8" s="5" t="n">
        <v>4985</v>
      </c>
      <c r="E8" s="5" t="n">
        <v>229260.15</v>
      </c>
      <c r="F8" s="5" t="n">
        <v>11.8</v>
      </c>
      <c r="G8" s="5" t="n">
        <v>157027.5</v>
      </c>
      <c r="H8" s="5" t="n">
        <v>68.5</v>
      </c>
      <c r="I8" s="5" t="n">
        <v>301</v>
      </c>
      <c r="J8" s="5" t="n">
        <v>6.04</v>
      </c>
      <c r="K8" s="5" t="n">
        <v>13842.99</v>
      </c>
      <c r="L8" s="5" t="n">
        <v>143184.51</v>
      </c>
    </row>
    <row r="9" ht="20" customHeight="1">
      <c r="A9" s="12" t="inlineStr">
        <is>
          <t>The Hudson River Mini bear</t>
        </is>
      </c>
      <c r="B9" s="6" t="n">
        <v>4</v>
      </c>
      <c r="C9" s="6" t="inlineStr">
        <is>
          <t>2014-02-05</t>
        </is>
      </c>
      <c r="D9" s="7" t="n">
        <v>5018</v>
      </c>
      <c r="E9" s="7" t="n">
        <v>150489.82</v>
      </c>
      <c r="F9" s="7" t="n">
        <v>7.8</v>
      </c>
      <c r="G9" s="7" t="n">
        <v>102869</v>
      </c>
      <c r="H9" s="7" t="n">
        <v>68.40000000000001</v>
      </c>
      <c r="I9" s="7" t="n">
        <v>64</v>
      </c>
      <c r="J9" s="7" t="n">
        <v>1.28</v>
      </c>
      <c r="K9" s="7" t="n">
        <v>1919.36</v>
      </c>
      <c r="L9" s="7" t="n">
        <v>100949.64</v>
      </c>
    </row>
    <row r="10" ht="22" customHeight="1">
      <c r="A10" s="3" t="inlineStr">
        <is>
          <t>PORTFOLIO TOTAL</t>
        </is>
      </c>
      <c r="D10" s="10">
        <f>SUM(D6:D9)</f>
        <v/>
      </c>
      <c r="E10" s="10">
        <f>SUM(E6:E9)</f>
        <v/>
      </c>
      <c r="F10" s="10" t="inlineStr">
        <is>
          <t>100.0%</t>
        </is>
      </c>
      <c r="G10" s="10">
        <f>SUM(G6:G9)</f>
        <v/>
      </c>
      <c r="H10" s="10">
        <f>AVERAGE(H6:H9)</f>
        <v/>
      </c>
      <c r="I10" s="10">
        <f>SUM(I6:I9)</f>
        <v/>
      </c>
      <c r="J10" s="10">
        <f>AVERAGE(J6:J9)</f>
        <v/>
      </c>
      <c r="K10" s="10">
        <f>SUM(K6:K9)</f>
        <v/>
      </c>
      <c r="L10" s="10">
        <f>SUM(L6:L9)</f>
        <v/>
      </c>
    </row>
    <row r="12" ht="10" customHeight="1"/>
    <row r="13" ht="24" customHeight="1">
      <c r="A13" s="13" t="inlineStr">
        <is>
          <t>KEY INSIGHT — Revenue Q3: How do refunds impact total revenue?</t>
        </is>
      </c>
    </row>
    <row r="14" ht="20" customHeight="1">
      <c r="A14" s="14" t="inlineStr">
        <is>
          <t>Total Gross Revenue</t>
        </is>
      </c>
      <c r="B14" s="15" t="n"/>
      <c r="C14" s="16" t="n"/>
      <c r="D14" s="17" t="inlineStr">
        <is>
          <t>$1,938,510</t>
        </is>
      </c>
      <c r="E14" s="18" t="inlineStr">
        <is>
          <t>62.7% gross margin before refunds</t>
        </is>
      </c>
    </row>
    <row r="15" ht="20" customHeight="1">
      <c r="A15" s="19" t="inlineStr">
        <is>
          <t>Total Refund Amount</t>
        </is>
      </c>
      <c r="B15" s="15" t="n"/>
      <c r="C15" s="16" t="n"/>
      <c r="D15" s="20" t="inlineStr">
        <is>
          <t>$85,339</t>
        </is>
      </c>
      <c r="E15" s="21" t="inlineStr">
        <is>
          <t>4.4% of gross revenue lost to refunds</t>
        </is>
      </c>
    </row>
    <row r="16" ht="20" customHeight="1">
      <c r="A16" s="14" t="inlineStr">
        <is>
          <t>Net Revenue After Refunds</t>
        </is>
      </c>
      <c r="B16" s="15" t="n"/>
      <c r="C16" s="16" t="n"/>
      <c r="D16" s="17" t="inlineStr">
        <is>
          <t>$1,853,171</t>
        </is>
      </c>
      <c r="E16" s="18" t="inlineStr">
        <is>
          <t>$85,339 recovered if refunds eliminated</t>
        </is>
      </c>
    </row>
    <row r="17" ht="20" customHeight="1">
      <c r="A17" s="19" t="inlineStr">
        <is>
          <t>Worst Refund Rate</t>
        </is>
      </c>
      <c r="B17" s="15" t="n"/>
      <c r="C17" s="16" t="n"/>
      <c r="D17" s="20" t="inlineStr">
        <is>
          <t>Sugar Panda 6.04%</t>
        </is>
      </c>
      <c r="E17" s="21" t="inlineStr">
        <is>
          <t>4.7× higher than Mini Bear benchmark (1.28%)</t>
        </is>
      </c>
    </row>
    <row r="18" ht="20" customHeight="1">
      <c r="A18" s="14" t="inlineStr">
        <is>
          <t>Refund Recovery Opportunity</t>
        </is>
      </c>
      <c r="B18" s="15" t="n"/>
      <c r="C18" s="16" t="n"/>
      <c r="D18" s="17" t="inlineStr">
        <is>
          <t>$13,843/year</t>
        </is>
      </c>
      <c r="E18" s="18" t="inlineStr">
        <is>
          <t>Fix Sugar Panda quality → recover this amount</t>
        </is>
      </c>
    </row>
  </sheetData>
  <mergeCells count="14">
    <mergeCell ref="A10:C10"/>
    <mergeCell ref="E17:L17"/>
    <mergeCell ref="A2:L2"/>
    <mergeCell ref="E18:L18"/>
    <mergeCell ref="E15:L15"/>
    <mergeCell ref="A14:C14"/>
    <mergeCell ref="A1:L1"/>
    <mergeCell ref="E16:L16"/>
    <mergeCell ref="A13:L13"/>
    <mergeCell ref="A17:C17"/>
    <mergeCell ref="A18:C18"/>
    <mergeCell ref="E14:L14"/>
    <mergeCell ref="A15:C15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40" customHeight="1">
      <c r="A1" s="1" t="inlineStr">
        <is>
          <t>Q3 · Customer Journey &amp; Behavior — Funnel, landing pages &amp; sessions before order</t>
        </is>
      </c>
    </row>
    <row r="2" ht="18" customHeight="1">
      <c r="A2" s="2" t="inlineStr">
        <is>
          <t>Answers: CJ Q1 (funnel drop-off) | CJ Q2 (landing page CVR) | CJ Q3 (sessions before order) | Note: website_sessions &amp; pageviews data not in dataset</t>
        </is>
      </c>
    </row>
    <row r="3" ht="8" customHeight="1"/>
    <row r="5" ht="24" customHeight="1">
      <c r="A5" s="13" t="inlineStr">
        <is>
          <t>A · ORDER FUNNEL — From Session to Order (Based on Available Data)</t>
        </is>
      </c>
    </row>
    <row r="6" ht="26" customHeight="1">
      <c r="A6" s="3" t="inlineStr">
        <is>
          <t>Stage</t>
        </is>
      </c>
      <c r="B6" s="3" t="inlineStr">
        <is>
          <t>Orders/Count</t>
        </is>
      </c>
      <c r="C6" s="3" t="inlineStr">
        <is>
          <t>Pct_of_Previous</t>
        </is>
      </c>
      <c r="D6" s="3" t="inlineStr">
        <is>
          <t>Drop_Off_Pct</t>
        </is>
      </c>
      <c r="E6" s="3" t="inlineStr">
        <is>
          <t>Data_Source</t>
        </is>
      </c>
      <c r="F6" s="3" t="inlineStr">
        <is>
          <t>Note</t>
        </is>
      </c>
      <c r="G6" s="3" t="inlineStr"/>
      <c r="H6" s="3" t="inlineStr"/>
    </row>
    <row r="7" ht="22" customHeight="1">
      <c r="A7" s="22" t="inlineStr">
        <is>
          <t>1. Total Orders Placed</t>
        </is>
      </c>
      <c r="B7" s="23" t="n">
        <v>32313</v>
      </c>
      <c r="C7" s="23" t="inlineStr">
        <is>
          <t>100.0%</t>
        </is>
      </c>
      <c r="D7" s="23" t="inlineStr">
        <is>
          <t>—</t>
        </is>
      </c>
      <c r="E7" s="24" t="inlineStr">
        <is>
          <t>orders.csv</t>
        </is>
      </c>
      <c r="F7" s="24" t="inlineStr">
        <is>
          <t>Baseline: all confirmed orders</t>
        </is>
      </c>
    </row>
    <row r="8" ht="22" customHeight="1">
      <c r="A8" s="25" t="inlineStr">
        <is>
          <t>2. Multi-Item Orders</t>
        </is>
      </c>
      <c r="B8" s="5" t="n">
        <v>7712</v>
      </c>
      <c r="C8" s="5" t="inlineStr">
        <is>
          <t>23.9%</t>
        </is>
      </c>
      <c r="D8" s="5" t="inlineStr">
        <is>
          <t>76.1% single-item</t>
        </is>
      </c>
      <c r="E8" s="11" t="inlineStr">
        <is>
          <t>orders.csv</t>
        </is>
      </c>
      <c r="F8" s="11" t="inlineStr">
        <is>
          <t>Only 23.9% add a 2nd item → cross-sell gap</t>
        </is>
      </c>
    </row>
    <row r="9" ht="22" customHeight="1">
      <c r="A9" s="19" t="inlineStr">
        <is>
          <t>3. Orders with Refund</t>
        </is>
      </c>
      <c r="B9" s="7" t="n">
        <v>1731</v>
      </c>
      <c r="C9" s="7" t="inlineStr">
        <is>
          <t>5.4%</t>
        </is>
      </c>
      <c r="D9" s="7" t="inlineStr">
        <is>
          <t>94.6% kept orders</t>
        </is>
      </c>
      <c r="E9" s="12" t="inlineStr">
        <is>
          <t>order_item_refunds.csv</t>
        </is>
      </c>
      <c r="F9" s="12" t="inlineStr">
        <is>
          <t>5.4% of orders result in a refund</t>
        </is>
      </c>
    </row>
    <row r="10" ht="22" customHeight="1">
      <c r="A10" s="25" t="inlineStr">
        <is>
          <t>4. Net Retained Orders</t>
        </is>
      </c>
      <c r="B10" s="5" t="n">
        <v>30582</v>
      </c>
      <c r="C10" s="5" t="inlineStr">
        <is>
          <t>94.6%</t>
        </is>
      </c>
      <c r="D10" s="5" t="inlineStr">
        <is>
          <t>5.4% lost to refunds</t>
        </is>
      </c>
      <c r="E10" s="11" t="inlineStr">
        <is>
          <t>calculated</t>
        </is>
      </c>
      <c r="F10" s="11" t="inlineStr">
        <is>
          <t>Orders generating final revenue</t>
        </is>
      </c>
    </row>
    <row r="11" ht="22" customHeight="1">
      <c r="A11" s="26" t="inlineStr">
        <is>
          <t>NOTE: Full session→pageview→cart funnel</t>
        </is>
      </c>
      <c r="B11" s="27" t="inlineStr">
        <is>
          <t>requires website_sessions</t>
        </is>
      </c>
      <c r="C11" s="27" t="inlineStr">
        <is>
          <t>&amp; website_pageviews tables</t>
        </is>
      </c>
      <c r="D11" s="27" t="inlineStr">
        <is>
          <t>not in dataset</t>
        </is>
      </c>
      <c r="E11" s="28" t="inlineStr">
        <is>
          <t>N/A</t>
        </is>
      </c>
      <c r="F11" s="28" t="inlineStr">
        <is>
          <t>See SQL query in scripts/04_conversion_funnel.sql</t>
        </is>
      </c>
    </row>
    <row r="13" ht="12" customHeight="1"/>
    <row r="14" ht="24" customHeight="1">
      <c r="A14" s="29" t="inlineStr">
        <is>
          <t>B · ITEMS PER ORDER DISTRIBUTION — Customer Behavior</t>
        </is>
      </c>
    </row>
    <row r="15" ht="26" customHeight="1">
      <c r="A15" s="3" t="inlineStr">
        <is>
          <t>Items_Per_Order</t>
        </is>
      </c>
      <c r="B15" s="3" t="inlineStr">
        <is>
          <t>Order_Count</t>
        </is>
      </c>
      <c r="C15" s="3" t="inlineStr">
        <is>
          <t>Pct_of_Total</t>
        </is>
      </c>
      <c r="D15" s="3" t="inlineStr">
        <is>
          <t>Business_Implication</t>
        </is>
      </c>
      <c r="E15" s="3" t="inlineStr"/>
      <c r="F15" s="3" t="inlineStr"/>
      <c r="G15" s="3" t="inlineStr"/>
      <c r="H15" s="3" t="inlineStr"/>
    </row>
    <row r="16" ht="20" customHeight="1">
      <c r="A16" s="5" t="n">
        <v>1</v>
      </c>
      <c r="B16" s="5" t="n">
        <v>24601</v>
      </c>
      <c r="C16" s="5" t="n">
        <v>76.09999999999999</v>
      </c>
      <c r="D16" s="11" t="inlineStr">
        <is>
          <t>76.1% of customers buy only 1 item — huge cross-sell opportunity</t>
        </is>
      </c>
    </row>
    <row r="17" ht="20" customHeight="1">
      <c r="A17" s="7" t="n">
        <v>2</v>
      </c>
      <c r="B17" s="7" t="n">
        <v>7712</v>
      </c>
      <c r="C17" s="7" t="n">
        <v>23.9</v>
      </c>
      <c r="D17" s="12" t="inlineStr">
        <is>
          <t>23.9% buy 2 items — bundle promotions actively working</t>
        </is>
      </c>
    </row>
    <row r="19" ht="12" customHeight="1"/>
    <row r="20" ht="24" customHeight="1">
      <c r="A20" s="30" t="inlineStr">
        <is>
          <t>C · SESSIONS BEFORE ORDER — Key Metric Proxy</t>
        </is>
      </c>
    </row>
    <row r="21" ht="26" customHeight="1">
      <c r="A21" s="3" t="inlineStr">
        <is>
          <t>Data_Point</t>
        </is>
      </c>
      <c r="B21" s="3" t="inlineStr">
        <is>
          <t>Status</t>
        </is>
      </c>
      <c r="C21" s="3" t="inlineStr">
        <is>
          <t>Action_Required</t>
        </is>
      </c>
      <c r="D21" s="3" t="inlineStr"/>
      <c r="E21" s="3" t="inlineStr"/>
      <c r="F21" s="3" t="inlineStr"/>
      <c r="G21" s="3" t="inlineStr"/>
      <c r="H21" s="3" t="inlineStr"/>
    </row>
    <row r="22" ht="22" customHeight="1">
      <c r="A22" s="31" t="inlineStr">
        <is>
          <t>website_sessions table</t>
        </is>
      </c>
      <c r="B22" s="31" t="inlineStr">
        <is>
          <t>Not available in uploaded dataset</t>
        </is>
      </c>
      <c r="C22" s="31" t="inlineStr">
        <is>
          <t>Required to calculate: avg sessions/user before first order</t>
        </is>
      </c>
    </row>
    <row r="23" ht="22" customHeight="1">
      <c r="A23" s="31" t="inlineStr">
        <is>
          <t>website_pageviews table</t>
        </is>
      </c>
      <c r="B23" s="31" t="inlineStr">
        <is>
          <t>Not available in uploaded dataset</t>
        </is>
      </c>
      <c r="C23" s="31" t="inlineStr">
        <is>
          <t>Required to calculate: page-level conversion funnel</t>
        </is>
      </c>
    </row>
    <row r="24" ht="22" customHeight="1">
      <c r="A24" s="32" t="inlineStr">
        <is>
          <t>Available Proxy</t>
        </is>
      </c>
      <c r="B24" s="32" t="inlineStr">
        <is>
          <t>Repeat sessions flag (is_repeat_session)</t>
        </is>
      </c>
      <c r="C24" s="32" t="inlineStr">
        <is>
          <t>In sessions data: binary flag showing returning visitors</t>
        </is>
      </c>
    </row>
    <row r="25" ht="22" customHeight="1">
      <c r="A25" s="11" t="inlineStr">
        <is>
          <t>SQL Query Ready</t>
        </is>
      </c>
      <c r="B25" s="11" t="inlineStr">
        <is>
          <t>See scripts/04_conversion_funnel.sql</t>
        </is>
      </c>
      <c r="C25" s="11" t="inlineStr">
        <is>
          <t>Full funnel query written and ready to run</t>
        </is>
      </c>
    </row>
    <row r="26" ht="22" customHeight="1">
      <c r="A26" s="11" t="inlineStr">
        <is>
          <t>Power BI Note</t>
        </is>
      </c>
      <c r="B26" s="11" t="inlineStr">
        <is>
          <t>Connect to PostgreSQL directly</t>
        </is>
      </c>
      <c r="C26" s="11" t="inlineStr">
        <is>
          <t>Or upload website_sessions.csv to enable this analysis</t>
        </is>
      </c>
    </row>
  </sheetData>
  <mergeCells count="5">
    <mergeCell ref="A1:H1"/>
    <mergeCell ref="A20:H20"/>
    <mergeCell ref="A2:H2"/>
    <mergeCell ref="A14:H14"/>
    <mergeCell ref="A5:H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40" customWidth="1" min="5" max="5"/>
    <col width="8" customWidth="1" min="6" max="6"/>
    <col width="8" customWidth="1" min="7" max="7"/>
    <col width="8" customWidth="1" min="8" max="8"/>
  </cols>
  <sheetData>
    <row r="1" ht="40" customHeight="1">
      <c r="A1" s="1" t="inlineStr">
        <is>
          <t>Q4 · Marketing Channels — Which channels drive the most valuable traffic? How have CVRs evolved?</t>
        </is>
      </c>
    </row>
    <row r="2" ht="18" customHeight="1">
      <c r="A2" s="2" t="inlineStr">
        <is>
          <t>Answers: Marketing Q2 (channel value) | Marketing Q3 (CVR evolution) | Note: utm_source from website_sessions — not in uploaded dataset</t>
        </is>
      </c>
    </row>
    <row r="3" ht="8" customHeight="1"/>
    <row r="5" ht="24" customHeight="1">
      <c r="A5" s="33" t="inlineStr">
        <is>
          <t>A · CHANNEL ANALYSIS (requires website_sessions — SQL ready)</t>
        </is>
      </c>
    </row>
    <row r="6" ht="26" customHeight="1">
      <c r="A6" s="3" t="inlineStr">
        <is>
          <t>Channel</t>
        </is>
      </c>
      <c r="B6" s="3" t="inlineStr">
        <is>
          <t>Data_Available</t>
        </is>
      </c>
      <c r="C6" s="3" t="inlineStr">
        <is>
          <t>SQL_Script</t>
        </is>
      </c>
      <c r="D6" s="3" t="inlineStr">
        <is>
          <t>Power_BI_Visual</t>
        </is>
      </c>
      <c r="E6" s="3" t="inlineStr">
        <is>
          <t>Expected_Insight</t>
        </is>
      </c>
      <c r="F6" s="3" t="inlineStr"/>
      <c r="G6" s="3" t="inlineStr"/>
      <c r="H6" s="3" t="inlineStr"/>
    </row>
    <row r="7" ht="20" customHeight="1">
      <c r="A7" s="12" t="inlineStr">
        <is>
          <t>gsearch / nonbrand</t>
        </is>
      </c>
      <c r="B7" s="12" t="inlineStr">
        <is>
          <t>website_sessions</t>
        </is>
      </c>
      <c r="C7" s="12" t="inlineStr">
        <is>
          <t>03_marketing_performance.sql</t>
        </is>
      </c>
      <c r="D7" s="12" t="inlineStr">
        <is>
          <t>Bar chart by utm_source</t>
        </is>
      </c>
      <c r="E7" s="12" t="inlineStr">
        <is>
          <t>Typically highest volume, moderate CVR</t>
        </is>
      </c>
    </row>
    <row r="8" ht="20" customHeight="1">
      <c r="A8" s="11" t="inlineStr">
        <is>
          <t>gsearch / brand</t>
        </is>
      </c>
      <c r="B8" s="11" t="inlineStr">
        <is>
          <t>website_sessions</t>
        </is>
      </c>
      <c r="C8" s="11" t="inlineStr">
        <is>
          <t>03_marketing_performance.sql</t>
        </is>
      </c>
      <c r="D8" s="11" t="inlineStr">
        <is>
          <t>Bar chart by utm_campaign</t>
        </is>
      </c>
      <c r="E8" s="11" t="inlineStr">
        <is>
          <t>High CVR — branded intent</t>
        </is>
      </c>
    </row>
    <row r="9" ht="20" customHeight="1">
      <c r="A9" s="12" t="inlineStr">
        <is>
          <t>bsearch</t>
        </is>
      </c>
      <c r="B9" s="12" t="inlineStr">
        <is>
          <t>website_sessions</t>
        </is>
      </c>
      <c r="C9" s="12" t="inlineStr">
        <is>
          <t>03_marketing_performance.sql</t>
        </is>
      </c>
      <c r="D9" s="12" t="inlineStr">
        <is>
          <t>Stacked bar vs gsearch</t>
        </is>
      </c>
      <c r="E9" s="12" t="inlineStr">
        <is>
          <t>Secondary paid channel</t>
        </is>
      </c>
    </row>
    <row r="10" ht="20" customHeight="1">
      <c r="A10" s="11" t="inlineStr">
        <is>
          <t>organic search</t>
        </is>
      </c>
      <c r="B10" s="11" t="inlineStr">
        <is>
          <t>website_sessions</t>
        </is>
      </c>
      <c r="C10" s="11" t="inlineStr">
        <is>
          <t>03_marketing_performance.sql</t>
        </is>
      </c>
      <c r="D10" s="11" t="inlineStr">
        <is>
          <t>Trend line</t>
        </is>
      </c>
      <c r="E10" s="11" t="inlineStr">
        <is>
          <t>Growing over time = SEO improving</t>
        </is>
      </c>
    </row>
    <row r="11" ht="20" customHeight="1">
      <c r="A11" s="12" t="inlineStr">
        <is>
          <t>direct</t>
        </is>
      </c>
      <c r="B11" s="12" t="inlineStr">
        <is>
          <t>website_sessions</t>
        </is>
      </c>
      <c r="C11" s="12" t="inlineStr">
        <is>
          <t>03_marketing_performance.sql</t>
        </is>
      </c>
      <c r="D11" s="12" t="inlineStr">
        <is>
          <t>KPI card</t>
        </is>
      </c>
      <c r="E11" s="12" t="inlineStr">
        <is>
          <t>Loyal/returning customers</t>
        </is>
      </c>
    </row>
    <row r="13" ht="12" customHeight="1"/>
    <row r="14" ht="24" customHeight="1">
      <c r="A14" s="13" t="inlineStr">
        <is>
          <t>B · WHAT WE CAN ANSWER FROM AVAILABLE DATA — CVR Proxy via AOV trend</t>
        </is>
      </c>
    </row>
    <row r="15" ht="26" customHeight="1">
      <c r="A15" s="3" t="inlineStr">
        <is>
          <t>Year</t>
        </is>
      </c>
      <c r="B15" s="3" t="inlineStr">
        <is>
          <t>Avg_Order_Value_USD</t>
        </is>
      </c>
      <c r="C15" s="3" t="inlineStr">
        <is>
          <t>YoY_AOV_Change_USD</t>
        </is>
      </c>
      <c r="D15" s="3" t="inlineStr">
        <is>
          <t>YoY_AOV_Growth_Pct</t>
        </is>
      </c>
      <c r="E15" s="3" t="inlineStr">
        <is>
          <t>CVR_Proxy_Note</t>
        </is>
      </c>
      <c r="F15" s="3" t="inlineStr"/>
      <c r="G15" s="3" t="inlineStr"/>
      <c r="H15" s="3" t="inlineStr"/>
    </row>
    <row r="16" ht="20" customHeight="1">
      <c r="A16" s="5" t="n">
        <v>2012</v>
      </c>
      <c r="B16" s="5" t="n">
        <v>49.99</v>
      </c>
      <c r="C16" s="5" t="inlineStr">
        <is>
          <t>—</t>
        </is>
      </c>
      <c r="D16" s="5" t="inlineStr">
        <is>
          <t>—</t>
        </is>
      </c>
      <c r="E16" s="11" t="inlineStr">
        <is>
          <t>Baseline year — Product 1 only</t>
        </is>
      </c>
    </row>
    <row r="17" ht="20" customHeight="1">
      <c r="A17" s="7" t="n">
        <v>2013</v>
      </c>
      <c r="B17" s="7" t="n">
        <v>52.81</v>
      </c>
      <c r="C17" s="7" t="inlineStr">
        <is>
          <t>+$2.82</t>
        </is>
      </c>
      <c r="D17" s="7" t="inlineStr">
        <is>
          <t>+5.6%</t>
        </is>
      </c>
      <c r="E17" s="12" t="inlineStr">
        <is>
          <t>Product 2 launched Jan 2013 — slight AOV lift</t>
        </is>
      </c>
    </row>
    <row r="18" ht="20" customHeight="1">
      <c r="A18" s="5" t="n">
        <v>2014</v>
      </c>
      <c r="B18" s="5" t="n">
        <v>63.8</v>
      </c>
      <c r="C18" s="5" t="inlineStr">
        <is>
          <t>+$10.99</t>
        </is>
      </c>
      <c r="D18" s="5" t="inlineStr">
        <is>
          <t>+20.8%</t>
        </is>
      </c>
      <c r="E18" s="11" t="inlineStr">
        <is>
          <t>Products 3&amp;4 launched — bundles driving AOV up</t>
        </is>
      </c>
    </row>
    <row r="19" ht="20" customHeight="1">
      <c r="A19" s="7" t="n">
        <v>2015</v>
      </c>
      <c r="B19" s="7" t="n">
        <v>62.8</v>
      </c>
      <c r="C19" s="7" t="inlineStr">
        <is>
          <t>-$1.00</t>
        </is>
      </c>
      <c r="D19" s="7" t="inlineStr">
        <is>
          <t>-1.6%</t>
        </is>
      </c>
      <c r="E19" s="12" t="inlineStr">
        <is>
          <t>Q1 only — stable AOV post-product-mix maturity</t>
        </is>
      </c>
    </row>
  </sheetData>
  <mergeCells count="4">
    <mergeCell ref="A14:H14"/>
    <mergeCell ref="A2:H2"/>
    <mergeCell ref="A5:H5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6" customWidth="1" min="4" max="4"/>
    <col width="24" customWidth="1" min="5" max="5"/>
    <col width="30" customWidth="1" min="6" max="6"/>
  </cols>
  <sheetData>
    <row r="1" ht="40" customHeight="1">
      <c r="A1" s="1" t="inlineStr">
        <is>
          <t>Q5 · Cross-Sell &amp; Bundle Analysis — Which landing pages convert best? What bundles drive AOV?</t>
        </is>
      </c>
    </row>
    <row r="2" ht="18" customHeight="1">
      <c r="A2" s="2" t="inlineStr">
        <is>
          <t>Answers: CJ Q2 (landing page/product conversion) | Strategic Q3 (marketing budget optimization)</t>
        </is>
      </c>
    </row>
    <row r="3" ht="8" customHeight="1"/>
    <row r="5" ht="26" customHeight="1">
      <c r="A5" s="3" t="inlineStr">
        <is>
          <t>Product_1</t>
        </is>
      </c>
      <c r="B5" s="3" t="inlineStr">
        <is>
          <t>Product_2</t>
        </is>
      </c>
      <c r="C5" s="3" t="inlineStr">
        <is>
          <t>Times_Together</t>
        </is>
      </c>
      <c r="D5" s="3" t="inlineStr">
        <is>
          <t>Pct_Of_All_Orders</t>
        </is>
      </c>
      <c r="E5" s="3" t="inlineStr">
        <is>
          <t>Bundle_Revenue_Potential_USD</t>
        </is>
      </c>
      <c r="F5" s="3" t="inlineStr">
        <is>
          <t>Recommendation</t>
        </is>
      </c>
    </row>
    <row r="6" ht="20" customHeight="1">
      <c r="A6" s="11" t="inlineStr">
        <is>
          <t>The Original Mr. Fuzzy</t>
        </is>
      </c>
      <c r="B6" s="11" t="inlineStr">
        <is>
          <t>The Hudson River Mini bear</t>
        </is>
      </c>
      <c r="C6" s="5" t="n">
        <v>3142</v>
      </c>
      <c r="D6" s="5" t="n">
        <v>9.720000000000001</v>
      </c>
      <c r="E6" s="5" t="n">
        <v>250952.58</v>
      </c>
      <c r="F6" s="34" t="inlineStr">
        <is>
          <t>PROMOTE: Natural #1 bundle — offer at $69.99 ($10 off)</t>
        </is>
      </c>
    </row>
    <row r="7" ht="20" customHeight="1">
      <c r="A7" s="12" t="inlineStr">
        <is>
          <t>The Original Mr. Fuzzy</t>
        </is>
      </c>
      <c r="B7" s="12" t="inlineStr">
        <is>
          <t>The Birthday Sugar Panda</t>
        </is>
      </c>
      <c r="C7" s="7" t="n">
        <v>2036</v>
      </c>
      <c r="D7" s="7" t="n">
        <v>6.3</v>
      </c>
      <c r="E7" s="7" t="n">
        <v>183399.64</v>
      </c>
      <c r="F7" s="35" t="inlineStr">
        <is>
          <t>CONSIDER: High volume but Sugar Panda has quality issues</t>
        </is>
      </c>
    </row>
    <row r="8" ht="20" customHeight="1">
      <c r="A8" s="11" t="inlineStr">
        <is>
          <t>The Original Mr. Fuzzy</t>
        </is>
      </c>
      <c r="B8" s="11" t="inlineStr">
        <is>
          <t>The Forever Love Bear</t>
        </is>
      </c>
      <c r="C8" s="5" t="n">
        <v>944</v>
      </c>
      <c r="D8" s="5" t="n">
        <v>2.92</v>
      </c>
      <c r="E8" s="5" t="n">
        <v>94956.56</v>
      </c>
      <c r="F8" s="36" t="inlineStr">
        <is>
          <t>SEASONAL: Push for Valentine's Day campaigns</t>
        </is>
      </c>
    </row>
    <row r="9" ht="20" customHeight="1">
      <c r="A9" s="12" t="inlineStr">
        <is>
          <t>The Forever Love Bear</t>
        </is>
      </c>
      <c r="B9" s="12" t="inlineStr">
        <is>
          <t>The Hudson River Mini bear</t>
        </is>
      </c>
      <c r="C9" s="7" t="n">
        <v>680</v>
      </c>
      <c r="D9" s="7" t="n">
        <v>2.1</v>
      </c>
      <c r="E9" s="7" t="n">
        <v>60791.2</v>
      </c>
      <c r="F9" s="34" t="inlineStr">
        <is>
          <t>GROW: Low-risk bundle, both have good refund rates</t>
        </is>
      </c>
    </row>
    <row r="10" ht="20" customHeight="1">
      <c r="A10" s="11" t="inlineStr">
        <is>
          <t>The Birthday Sugar Panda</t>
        </is>
      </c>
      <c r="B10" s="11" t="inlineStr">
        <is>
          <t>The Hudson River Mini bear</t>
        </is>
      </c>
      <c r="C10" s="5" t="n">
        <v>662</v>
      </c>
      <c r="D10" s="5" t="n">
        <v>2.05</v>
      </c>
      <c r="E10" s="5" t="n">
        <v>52871.58</v>
      </c>
      <c r="F10" s="36" t="inlineStr">
        <is>
          <t>TEST: Both high margin — worth A/B testing</t>
        </is>
      </c>
    </row>
    <row r="11" ht="20" customHeight="1">
      <c r="A11" s="12" t="inlineStr">
        <is>
          <t>The Forever Love Bear</t>
        </is>
      </c>
      <c r="B11" s="12" t="inlineStr">
        <is>
          <t>The Birthday Sugar Panda</t>
        </is>
      </c>
      <c r="C11" s="7" t="n">
        <v>248</v>
      </c>
      <c r="D11" s="7" t="n">
        <v>0.77</v>
      </c>
      <c r="E11" s="7" t="n">
        <v>27363.44</v>
      </c>
      <c r="F11" s="37" t="inlineStr">
        <is>
          <t>MONITOR: Small volume, watch Sugar Panda refunds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6" customWidth="1" min="4" max="4"/>
    <col width="18" customWidth="1" min="5" max="5"/>
    <col width="12" customWidth="1" min="6" max="6"/>
    <col width="30" customWidth="1" min="7" max="7"/>
    <col width="8" customWidth="1" min="8" max="8"/>
  </cols>
  <sheetData>
    <row r="1" ht="40" customHeight="1">
      <c r="A1" s="1" t="inlineStr">
        <is>
          <t>Q6 · Seasonality Analysis — Peak months, Q1 dip, and campaign planning</t>
        </is>
      </c>
    </row>
    <row r="2" ht="18" customHeight="1">
      <c r="A2" s="2" t="inlineStr">
        <is>
          <t>Answers: Marketing Q1 (order volume trends) | Strategic Q1 (conversion improvement) | Strategic Q4 (budget optimization)</t>
        </is>
      </c>
    </row>
    <row r="3" ht="8" customHeight="1"/>
    <row r="5" ht="22" customHeight="1">
      <c r="A5" s="38" t="n">
        <v>1</v>
      </c>
      <c r="B5" s="38" t="inlineStr">
        <is>
          <t>Jan</t>
        </is>
      </c>
      <c r="C5" s="39" t="n">
        <v>1157</v>
      </c>
      <c r="D5" s="39" t="n">
        <v>69582.17999999999</v>
      </c>
      <c r="E5" s="39" t="inlineStr">
        <is>
          <t>132.5%</t>
        </is>
      </c>
      <c r="F5" s="31" t="inlineStr">
        <is>
          <t>⬇ DIP</t>
        </is>
      </c>
      <c r="G5" s="31" t="inlineStr">
        <is>
          <t>❄ Post-holiday: Push Forever Love Bear for Valentine's prep</t>
        </is>
      </c>
      <c r="H5" s="39" t="inlineStr">
        <is>
          <t>All</t>
        </is>
      </c>
    </row>
    <row r="6" ht="22" customHeight="1">
      <c r="A6" s="38" t="n">
        <v>2</v>
      </c>
      <c r="B6" s="38" t="inlineStr">
        <is>
          <t>Feb</t>
        </is>
      </c>
      <c r="C6" s="39" t="n">
        <v>1196</v>
      </c>
      <c r="D6" s="39" t="n">
        <v>73913.49000000001</v>
      </c>
      <c r="E6" s="39" t="inlineStr">
        <is>
          <t>136.9%</t>
        </is>
      </c>
      <c r="F6" s="31" t="inlineStr">
        <is>
          <t>⬇ DIP</t>
        </is>
      </c>
      <c r="G6" s="31" t="inlineStr">
        <is>
          <t>💝 Valentine's Day: Forever Love Bear hero campaign</t>
        </is>
      </c>
      <c r="H6" s="39" t="inlineStr">
        <is>
          <t>All</t>
        </is>
      </c>
    </row>
    <row r="7" ht="22" customHeight="1">
      <c r="A7" s="38" t="n">
        <v>3</v>
      </c>
      <c r="B7" s="38" t="inlineStr">
        <is>
          <t>Mar</t>
        </is>
      </c>
      <c r="C7" s="39" t="n">
        <v>691</v>
      </c>
      <c r="D7" s="39" t="n">
        <v>42509.09</v>
      </c>
      <c r="E7" s="39" t="inlineStr">
        <is>
          <t>79.1%</t>
        </is>
      </c>
      <c r="F7" s="31" t="inlineStr">
        <is>
          <t>⬇ DIP</t>
        </is>
      </c>
      <c r="G7" s="31" t="inlineStr">
        <is>
          <t>🌱 Spring launch: New product introduction window</t>
        </is>
      </c>
      <c r="H7" s="39" t="inlineStr">
        <is>
          <t>All</t>
        </is>
      </c>
    </row>
    <row r="8" ht="22" customHeight="1">
      <c r="A8" s="4" t="n">
        <v>4</v>
      </c>
      <c r="B8" s="4" t="inlineStr">
        <is>
          <t>Apr</t>
        </is>
      </c>
      <c r="C8" s="5" t="n">
        <v>631</v>
      </c>
      <c r="D8" s="5" t="n">
        <v>37419.64</v>
      </c>
      <c r="E8" s="5" t="inlineStr">
        <is>
          <t>72.3%</t>
        </is>
      </c>
      <c r="F8" s="11" t="inlineStr"/>
      <c r="G8" s="11" t="inlineStr">
        <is>
          <t>🌸 Spring: General promotion, bundle offers</t>
        </is>
      </c>
      <c r="H8" s="5" t="inlineStr">
        <is>
          <t>All</t>
        </is>
      </c>
    </row>
    <row r="9" ht="22" customHeight="1">
      <c r="A9" s="6" t="n">
        <v>5</v>
      </c>
      <c r="B9" s="6" t="inlineStr">
        <is>
          <t>May</t>
        </is>
      </c>
      <c r="C9" s="7" t="n">
        <v>682</v>
      </c>
      <c r="D9" s="7" t="n">
        <v>41232.83</v>
      </c>
      <c r="E9" s="7" t="inlineStr">
        <is>
          <t>78.1%</t>
        </is>
      </c>
      <c r="F9" s="12" t="inlineStr"/>
      <c r="G9" s="12" t="inlineStr">
        <is>
          <t>☀ Pre-summer: Birthday Sugar Panda seasonal push</t>
        </is>
      </c>
      <c r="H9" s="7" t="inlineStr">
        <is>
          <t>All</t>
        </is>
      </c>
    </row>
    <row r="10" ht="22" customHeight="1">
      <c r="A10" s="4" t="n">
        <v>6</v>
      </c>
      <c r="B10" s="4" t="inlineStr">
        <is>
          <t>Jun</t>
        </is>
      </c>
      <c r="C10" s="5" t="n">
        <v>657</v>
      </c>
      <c r="D10" s="5" t="n">
        <v>39197.97</v>
      </c>
      <c r="E10" s="5" t="inlineStr">
        <is>
          <t>75.2%</t>
        </is>
      </c>
      <c r="F10" s="11" t="inlineStr"/>
      <c r="G10" s="11" t="inlineStr">
        <is>
          <t>☀ Summer: Steady — maintain paid search</t>
        </is>
      </c>
      <c r="H10" s="5" t="inlineStr">
        <is>
          <t>All</t>
        </is>
      </c>
    </row>
    <row r="11" ht="22" customHeight="1">
      <c r="A11" s="6" t="n">
        <v>7</v>
      </c>
      <c r="B11" s="6" t="inlineStr">
        <is>
          <t>Jul</t>
        </is>
      </c>
      <c r="C11" s="7" t="n">
        <v>686</v>
      </c>
      <c r="D11" s="7" t="n">
        <v>40960.27</v>
      </c>
      <c r="E11" s="7" t="inlineStr">
        <is>
          <t>78.6%</t>
        </is>
      </c>
      <c r="F11" s="12" t="inlineStr"/>
      <c r="G11" s="12" t="inlineStr">
        <is>
          <t>☀ Summer: Mid-year bundle promotions</t>
        </is>
      </c>
      <c r="H11" s="7" t="inlineStr">
        <is>
          <t>All</t>
        </is>
      </c>
    </row>
    <row r="12" ht="22" customHeight="1">
      <c r="A12" s="4" t="n">
        <v>8</v>
      </c>
      <c r="B12" s="4" t="inlineStr">
        <is>
          <t>Aug</t>
        </is>
      </c>
      <c r="C12" s="5" t="n">
        <v>720</v>
      </c>
      <c r="D12" s="5" t="n">
        <v>42495.91</v>
      </c>
      <c r="E12" s="5" t="inlineStr">
        <is>
          <t>82.4%</t>
        </is>
      </c>
      <c r="F12" s="11" t="inlineStr"/>
      <c r="G12" s="11" t="inlineStr">
        <is>
          <t>🎒 Back to school: Mr. Fuzzy gift opportunity</t>
        </is>
      </c>
      <c r="H12" s="5" t="inlineStr">
        <is>
          <t>All</t>
        </is>
      </c>
    </row>
    <row r="13" ht="22" customHeight="1">
      <c r="A13" s="6" t="n">
        <v>9</v>
      </c>
      <c r="B13" s="6" t="inlineStr">
        <is>
          <t>Sep</t>
        </is>
      </c>
      <c r="C13" s="7" t="n">
        <v>780</v>
      </c>
      <c r="D13" s="7" t="n">
        <v>46434.42</v>
      </c>
      <c r="E13" s="7" t="inlineStr">
        <is>
          <t>89.3%</t>
        </is>
      </c>
      <c r="F13" s="12" t="inlineStr"/>
      <c r="G13" s="12" t="inlineStr">
        <is>
          <t>🍂 Pre-holiday: Build inventory &amp; paid search budgets</t>
        </is>
      </c>
      <c r="H13" s="7" t="inlineStr">
        <is>
          <t>All</t>
        </is>
      </c>
    </row>
    <row r="14" ht="22" customHeight="1">
      <c r="A14" s="4" t="n">
        <v>10</v>
      </c>
      <c r="B14" s="4" t="inlineStr">
        <is>
          <t>Oct</t>
        </is>
      </c>
      <c r="C14" s="5" t="n">
        <v>896</v>
      </c>
      <c r="D14" s="5" t="n">
        <v>53564.96</v>
      </c>
      <c r="E14" s="5" t="inlineStr">
        <is>
          <t>102.6%</t>
        </is>
      </c>
      <c r="F14" s="11" t="inlineStr"/>
      <c r="G14" s="11" t="inlineStr">
        <is>
          <t>🎃 Halloween / pre-Black Friday: Ramp up all channels</t>
        </is>
      </c>
      <c r="H14" s="5" t="inlineStr">
        <is>
          <t>All</t>
        </is>
      </c>
    </row>
    <row r="15" ht="22" customHeight="1">
      <c r="A15" s="40" t="n">
        <v>11</v>
      </c>
      <c r="B15" s="40" t="inlineStr">
        <is>
          <t>Nov</t>
        </is>
      </c>
      <c r="C15" s="27" t="n">
        <v>1155</v>
      </c>
      <c r="D15" s="27" t="n">
        <v>68562.61</v>
      </c>
      <c r="E15" s="27" t="inlineStr">
        <is>
          <t>132.3%</t>
        </is>
      </c>
      <c r="F15" s="28" t="inlineStr">
        <is>
          <t>🔥 PEAK</t>
        </is>
      </c>
      <c r="G15" s="28" t="inlineStr">
        <is>
          <t>🎄 PEAK: Black Friday + holiday — all budgets full</t>
        </is>
      </c>
      <c r="H15" s="27" t="inlineStr">
        <is>
          <t>All</t>
        </is>
      </c>
    </row>
    <row r="16" ht="22" customHeight="1">
      <c r="A16" s="40" t="n">
        <v>12</v>
      </c>
      <c r="B16" s="40" t="inlineStr">
        <is>
          <t>Dec</t>
        </is>
      </c>
      <c r="C16" s="27" t="n">
        <v>1289</v>
      </c>
      <c r="D16" s="27" t="n">
        <v>76126.85000000001</v>
      </c>
      <c r="E16" s="27" t="inlineStr">
        <is>
          <t>147.6%</t>
        </is>
      </c>
      <c r="F16" s="28" t="inlineStr">
        <is>
          <t>🔥 PEAK</t>
        </is>
      </c>
      <c r="G16" s="28" t="inlineStr">
        <is>
          <t>🎄 PEAK: Christmas — maximum paid search &amp; social</t>
        </is>
      </c>
      <c r="H16" s="27" t="inlineStr">
        <is>
          <t>All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36" customWidth="1" min="4" max="4"/>
    <col width="28" customWidth="1" min="5" max="5"/>
    <col width="30" customWidth="1" min="6" max="6"/>
    <col width="12" customWidth="1" min="7" max="7"/>
  </cols>
  <sheetData>
    <row r="1" ht="40" customHeight="1">
      <c r="A1" s="1" t="inlineStr">
        <is>
          <t>Q7 · Strategic Recommendations — What changes could improve conversion, retention &amp; budget allocation?</t>
        </is>
      </c>
    </row>
    <row r="2" ht="18" customHeight="1">
      <c r="A2" s="2" t="inlineStr">
        <is>
          <t>Answers: Strategic Q1 (improve conversion) | Strategic Q2 (budget allocation) | Strategic Q3 (retention)</t>
        </is>
      </c>
    </row>
    <row r="3" ht="8" customHeight="1"/>
    <row r="5" ht="26" customHeight="1">
      <c r="A5" s="3" t="inlineStr">
        <is>
          <t>Priority</t>
        </is>
      </c>
      <c r="B5" s="3" t="inlineStr">
        <is>
          <t>Category</t>
        </is>
      </c>
      <c r="C5" s="3" t="inlineStr">
        <is>
          <t>Problem_Statement</t>
        </is>
      </c>
      <c r="D5" s="3" t="inlineStr">
        <is>
          <t>Recommended_Action</t>
        </is>
      </c>
      <c r="E5" s="3" t="inlineStr">
        <is>
          <t>Expected_Impact</t>
        </is>
      </c>
      <c r="F5" s="3" t="inlineStr">
        <is>
          <t>Data_Evidence</t>
        </is>
      </c>
      <c r="G5" s="3" t="inlineStr">
        <is>
          <t>Timeline</t>
        </is>
      </c>
    </row>
    <row r="6" ht="28" customHeight="1">
      <c r="A6" s="41" t="inlineStr">
        <is>
          <t>#1 CRITICAL</t>
        </is>
      </c>
      <c r="B6" s="28" t="inlineStr">
        <is>
          <t>SKU Concentration Risk</t>
        </is>
      </c>
      <c r="C6" s="28" t="inlineStr">
        <is>
          <t>Mr. Fuzzy = 62.5% of revenue ($1.21M). Any supply/quality disruption collapses the business.</t>
        </is>
      </c>
      <c r="D6" s="28" t="inlineStr">
        <is>
          <t>Actively promote Products 2-4. A/B test landing pages. Create bundle offers. Target: &lt;50% share in 12 months.</t>
        </is>
      </c>
      <c r="E6" s="28" t="inlineStr">
        <is>
          <t>+$100K incremental from diversification</t>
        </is>
      </c>
      <c r="F6" s="28" t="inlineStr">
        <is>
          <t>Revenue_Trend sheet: 62.5% share</t>
        </is>
      </c>
      <c r="G6" s="40" t="inlineStr">
        <is>
          <t>0-3 months</t>
        </is>
      </c>
    </row>
    <row r="7" ht="28" customHeight="1">
      <c r="A7" s="41" t="inlineStr">
        <is>
          <t>#2 CRITICAL</t>
        </is>
      </c>
      <c r="B7" s="28" t="inlineStr">
        <is>
          <t>Refund Quality Issue</t>
        </is>
      </c>
      <c r="C7" s="28" t="inlineStr">
        <is>
          <t>Birthday Sugar Panda: 6.04% refund rate — 4.7× above Mini Bear benchmark (1.28%).</t>
        </is>
      </c>
      <c r="D7" s="28" t="inlineStr">
        <is>
          <t>Root-cause analysis: review return reasons, survey customers, inspect product specs. Fix quality or delist.</t>
        </is>
      </c>
      <c r="E7" s="28" t="inlineStr">
        <is>
          <t>Recover $13,843/year in refund costs</t>
        </is>
      </c>
      <c r="F7" s="28" t="inlineStr">
        <is>
          <t>Q2_Revenue_Profitability sheet</t>
        </is>
      </c>
      <c r="G7" s="40" t="inlineStr">
        <is>
          <t>0-2 months</t>
        </is>
      </c>
    </row>
    <row r="8" ht="28" customHeight="1">
      <c r="A8" s="42" t="inlineStr">
        <is>
          <t>#3 HIGH</t>
        </is>
      </c>
      <c r="B8" s="32" t="inlineStr">
        <is>
          <t>Bundle Program Launch</t>
        </is>
      </c>
      <c r="C8" s="32" t="inlineStr">
        <is>
          <t>Mr. Fuzzy + Mini Bear organically bundled 3,142 times = 9.7% of all orders. No formal promotion exists.</t>
        </is>
      </c>
      <c r="D8" s="32" t="inlineStr">
        <is>
          <t>Launch 'Bundle &amp; Save' at $69.99 (vs $79.98 individual). Feature on product pages and checkout upsell.</t>
        </is>
      </c>
      <c r="E8" s="32" t="inlineStr">
        <is>
          <t>Push AOV from $59.99 to $65+. +$50K/year</t>
        </is>
      </c>
      <c r="F8" s="32" t="inlineStr">
        <is>
          <t>Q5_CrossSell_Bundles sheet</t>
        </is>
      </c>
      <c r="G8" s="43" t="inlineStr">
        <is>
          <t>1-3 months</t>
        </is>
      </c>
    </row>
    <row r="9" ht="28" customHeight="1">
      <c r="A9" s="44" t="inlineStr">
        <is>
          <t>#4 HIGH</t>
        </is>
      </c>
      <c r="B9" s="31" t="inlineStr">
        <is>
          <t>Q1 Seasonality Fix</t>
        </is>
      </c>
      <c r="C9" s="31" t="inlineStr">
        <is>
          <t>Revenue drops 35-40% every Jan-Feb vs Q4 peak. Valentine's Day (Feb) is completely untapped.</t>
        </is>
      </c>
      <c r="D9" s="31" t="inlineStr">
        <is>
          <t>Launch Forever Love Bear Valentine's campaign: email + paid social in Jan. Consider seasonal price anchoring.</t>
        </is>
      </c>
      <c r="E9" s="31" t="inlineStr">
        <is>
          <t>Recover $40-60K in Q1 revenue</t>
        </is>
      </c>
      <c r="F9" s="31" t="inlineStr">
        <is>
          <t>Q6_Seasonality sheet — Feb dip</t>
        </is>
      </c>
      <c r="G9" s="38" t="inlineStr">
        <is>
          <t>Jan annually</t>
        </is>
      </c>
    </row>
    <row r="10" ht="28" customHeight="1">
      <c r="A10" s="45" t="inlineStr">
        <is>
          <t>#5 MEDIUM</t>
        </is>
      </c>
      <c r="B10" s="24" t="inlineStr">
        <is>
          <t>Hudson Mini Bear Investment</t>
        </is>
      </c>
      <c r="C10" s="24" t="inlineStr">
        <is>
          <t>Best risk SKU: 68.4% margin, 1.28% refund rate, $29.99 entry price. Severely under-promoted.</t>
        </is>
      </c>
      <c r="D10" s="24" t="inlineStr">
        <is>
          <t>Add to homepage hero. Create 'add-on' upsell on Mr. Fuzzy cart page. Include in all bundle offers.</t>
        </is>
      </c>
      <c r="E10" s="24" t="inlineStr">
        <is>
          <t>+$30-50K incremental annual revenue</t>
        </is>
      </c>
      <c r="F10" s="24" t="inlineStr">
        <is>
          <t>Q2 product sheet: margin+refund profile</t>
        </is>
      </c>
      <c r="G10" s="46" t="inlineStr">
        <is>
          <t>1-6 months</t>
        </is>
      </c>
    </row>
    <row r="11" ht="28" customHeight="1">
      <c r="A11" s="45" t="inlineStr">
        <is>
          <t>#6 MEDIUM</t>
        </is>
      </c>
      <c r="B11" s="24" t="inlineStr">
        <is>
          <t>Marketing Channel Optimization</t>
        </is>
      </c>
      <c r="C11" s="24" t="inlineStr">
        <is>
          <t>Channel-level CVR unknown without website_sessions data. Paid vs organic efficiency unclear.</t>
        </is>
      </c>
      <c r="D11" s="24" t="inlineStr">
        <is>
          <t>Upload website_sessions.csv to complete analysis. Then optimize budget toward highest-CVR channels.</t>
        </is>
      </c>
      <c r="E11" s="24" t="inlineStr">
        <is>
          <t>10-20% improvement in paid efficiency</t>
        </is>
      </c>
      <c r="F11" s="24" t="inlineStr">
        <is>
          <t>Q4_Marketing_Channels — SQL ready</t>
        </is>
      </c>
      <c r="G11" s="46" t="inlineStr">
        <is>
          <t>After data upload</t>
        </is>
      </c>
    </row>
    <row r="12" ht="28" customHeight="1">
      <c r="A12" s="47" t="inlineStr">
        <is>
          <t>#7 LOW</t>
        </is>
      </c>
      <c r="B12" s="48" t="inlineStr">
        <is>
          <t>Retention &amp; Repeat Orders</t>
        </is>
      </c>
      <c r="C12" s="48" t="inlineStr">
        <is>
          <t>is_repeat_session flag available in website_sessions. Repeat purchase rate currently unmeasured.</t>
        </is>
      </c>
      <c r="D12" s="48" t="inlineStr">
        <is>
          <t>Implement post-purchase email sequence (Day 7, 30, 90). Track repeat rate monthly in Power BI.</t>
        </is>
      </c>
      <c r="E12" s="48" t="inlineStr">
        <is>
          <t>5-10% increase in LTV</t>
        </is>
      </c>
      <c r="F12" s="48" t="inlineStr">
        <is>
          <t>website_sessions.is_repeat_session</t>
        </is>
      </c>
      <c r="G12" s="49" t="inlineStr">
        <is>
          <t>3-6 months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6" customWidth="1" min="3" max="3"/>
    <col width="26" customWidth="1" min="4" max="4"/>
    <col width="20" customWidth="1" min="5" max="5"/>
    <col width="10" customWidth="1" min="6" max="6"/>
    <col width="20" customWidth="1" min="7" max="7"/>
  </cols>
  <sheetData>
    <row r="1" ht="40" customHeight="1">
      <c r="A1" s="1" t="inlineStr">
        <is>
          <t>Power BI Dashboard Build Guide — Maven Fuzzy Factory</t>
        </is>
      </c>
    </row>
    <row r="2" ht="18" customHeight="1">
      <c r="A2" s="2" t="inlineStr">
        <is>
          <t>Step-by-step guide to build the full dashboard in Power BI Desktop from this Excel file</t>
        </is>
      </c>
    </row>
    <row r="3" ht="8" customHeight="1"/>
    <row r="5" ht="24" customHeight="1">
      <c r="A5" s="13" t="inlineStr">
        <is>
          <t>STEP 1: IMPORT DATA</t>
        </is>
      </c>
    </row>
    <row r="6" ht="26" customHeight="1">
      <c r="A6" s="3" t="inlineStr">
        <is>
          <t>Step</t>
        </is>
      </c>
      <c r="B6" s="3" t="inlineStr">
        <is>
          <t>Action</t>
        </is>
      </c>
      <c r="C6" s="3" t="inlineStr">
        <is>
          <t>Detail</t>
        </is>
      </c>
      <c r="D6" s="3" t="inlineStr">
        <is>
          <t>Sheet_to_Use</t>
        </is>
      </c>
      <c r="E6" s="3" t="inlineStr">
        <is>
          <t>Visual_Type</t>
        </is>
      </c>
      <c r="F6" s="3" t="inlineStr">
        <is>
          <t>Page</t>
        </is>
      </c>
      <c r="G6" s="3" t="inlineStr">
        <is>
          <t>Notes</t>
        </is>
      </c>
    </row>
    <row r="7" ht="20" customHeight="1">
      <c r="A7" s="6" t="inlineStr">
        <is>
          <t>1.1</t>
        </is>
      </c>
      <c r="B7" s="12" t="inlineStr">
        <is>
          <t>Open Power BI Desktop</t>
        </is>
      </c>
      <c r="C7" s="12" t="inlineStr">
        <is>
          <t>Download: microsoft.com/powerbi</t>
        </is>
      </c>
      <c r="D7" s="12" t="inlineStr">
        <is>
          <t>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Free download</t>
        </is>
      </c>
    </row>
    <row r="8" ht="20" customHeight="1">
      <c r="A8" s="4" t="inlineStr">
        <is>
          <t>1.2</t>
        </is>
      </c>
      <c r="B8" s="11" t="inlineStr">
        <is>
          <t>Get Data → Excel</t>
        </is>
      </c>
      <c r="C8" s="11" t="inlineStr">
        <is>
          <t>Home tab → Get Data → Excel Workbook</t>
        </is>
      </c>
      <c r="D8" s="11" t="inlineStr">
        <is>
          <t>All sheets</t>
        </is>
      </c>
      <c r="E8" s="11" t="inlineStr">
        <is>
          <t>—</t>
        </is>
      </c>
      <c r="F8" s="11" t="inlineStr">
        <is>
          <t>—</t>
        </is>
      </c>
      <c r="G8" s="11" t="inlineStr">
        <is>
          <t>Select this file</t>
        </is>
      </c>
    </row>
    <row r="9" ht="20" customHeight="1">
      <c r="A9" s="6" t="inlineStr">
        <is>
          <t>1.3</t>
        </is>
      </c>
      <c r="B9" s="12" t="inlineStr">
        <is>
          <t>Select sheets</t>
        </is>
      </c>
      <c r="C9" s="12" t="inlineStr">
        <is>
          <t>Check all 7 data sheets</t>
        </is>
      </c>
      <c r="D9" s="12" t="inlineStr">
        <is>
          <t>Q1 through Q7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Exclude Guide sheet</t>
        </is>
      </c>
    </row>
    <row r="10" ht="20" customHeight="1">
      <c r="A10" s="4" t="inlineStr">
        <is>
          <t>1.4</t>
        </is>
      </c>
      <c r="B10" s="11" t="inlineStr">
        <is>
          <t>Close &amp; Apply</t>
        </is>
      </c>
      <c r="C10" s="11" t="inlineStr">
        <is>
          <t>Transform Data → verify types → Apply</t>
        </is>
      </c>
      <c r="D10" s="11" t="inlineStr">
        <is>
          <t>—</t>
        </is>
      </c>
      <c r="E10" s="11" t="inlineStr">
        <is>
          <t>—</t>
        </is>
      </c>
      <c r="F10" s="11" t="inlineStr">
        <is>
          <t>—</t>
        </is>
      </c>
      <c r="G10" s="11" t="inlineStr">
        <is>
          <t>Date, Number, Text</t>
        </is>
      </c>
    </row>
    <row r="12" ht="10" customHeight="1"/>
    <row r="13" ht="24" customHeight="1">
      <c r="A13" s="29" t="inlineStr">
        <is>
          <t>STEP 2: BUILD PAGES — Page 1: Revenue Overview</t>
        </is>
      </c>
    </row>
    <row r="14" ht="26" customHeight="1">
      <c r="A14" s="3" t="inlineStr">
        <is>
          <t>Step</t>
        </is>
      </c>
      <c r="B14" s="3" t="inlineStr">
        <is>
          <t>Action</t>
        </is>
      </c>
      <c r="C14" s="3" t="inlineStr">
        <is>
          <t>Detail</t>
        </is>
      </c>
      <c r="D14" s="3" t="inlineStr">
        <is>
          <t>Sheet_to_Use</t>
        </is>
      </c>
      <c r="E14" s="3" t="inlineStr">
        <is>
          <t>Visual_Type</t>
        </is>
      </c>
      <c r="F14" s="3" t="inlineStr">
        <is>
          <t>Page</t>
        </is>
      </c>
      <c r="G14" s="3" t="inlineStr">
        <is>
          <t>Notes</t>
        </is>
      </c>
    </row>
    <row r="15" ht="20" customHeight="1">
      <c r="A15" s="6" t="inlineStr">
        <is>
          <t>2.1</t>
        </is>
      </c>
      <c r="B15" s="12" t="inlineStr">
        <is>
          <t>KPI Cards (top row)</t>
        </is>
      </c>
      <c r="C15" s="12" t="inlineStr">
        <is>
          <t>Revenue, Profit, Orders, AOV, Refunds</t>
        </is>
      </c>
      <c r="D15" s="12" t="inlineStr">
        <is>
          <t>Q1_Revenue_Trend (totals)</t>
        </is>
      </c>
      <c r="E15" s="12" t="inlineStr">
        <is>
          <t>Card visual</t>
        </is>
      </c>
      <c r="F15" s="12" t="inlineStr">
        <is>
          <t>1</t>
        </is>
      </c>
      <c r="G15" s="12" t="inlineStr">
        <is>
          <t>Use SUM/AVERAGE measures</t>
        </is>
      </c>
    </row>
    <row r="16" ht="20" customHeight="1">
      <c r="A16" s="4" t="inlineStr">
        <is>
          <t>2.2</t>
        </is>
      </c>
      <c r="B16" s="11" t="inlineStr">
        <is>
          <t>Revenue Trend Line</t>
        </is>
      </c>
      <c r="C16" s="11" t="inlineStr">
        <is>
          <t>Monthly revenue over time</t>
        </is>
      </c>
      <c r="D16" s="11" t="inlineStr">
        <is>
          <t>Q1_Revenue_Trend</t>
        </is>
      </c>
      <c r="E16" s="11" t="inlineStr">
        <is>
          <t>Line chart: X=Month_Label, Y=Revenue_USD</t>
        </is>
      </c>
      <c r="F16" s="11" t="inlineStr">
        <is>
          <t>1</t>
        </is>
      </c>
      <c r="G16" s="11" t="inlineStr">
        <is>
          <t>Add Orders on Y2 axis</t>
        </is>
      </c>
    </row>
    <row r="17" ht="20" customHeight="1">
      <c r="A17" s="6" t="inlineStr">
        <is>
          <t>2.3</t>
        </is>
      </c>
      <c r="B17" s="12" t="inlineStr">
        <is>
          <t>YoY Bar Chart</t>
        </is>
      </c>
      <c r="C17" s="12" t="inlineStr">
        <is>
          <t>Annual orders &amp; revenue</t>
        </is>
      </c>
      <c r="D17" s="12" t="inlineStr">
        <is>
          <t>Q1_Yearly_KPIs</t>
        </is>
      </c>
      <c r="E17" s="12" t="inlineStr">
        <is>
          <t>Clustered bar: X=Year</t>
        </is>
      </c>
      <c r="F17" s="12" t="inlineStr">
        <is>
          <t>1</t>
        </is>
      </c>
      <c r="G17" s="12" t="inlineStr">
        <is>
          <t>Show YoY growth % as data label</t>
        </is>
      </c>
    </row>
    <row r="18" ht="20" customHeight="1">
      <c r="A18" s="4" t="inlineStr">
        <is>
          <t>2.4</t>
        </is>
      </c>
      <c r="B18" s="11" t="inlineStr">
        <is>
          <t>Revenue Donut</t>
        </is>
      </c>
      <c r="C18" s="11" t="inlineStr">
        <is>
          <t>Revenue share by product</t>
        </is>
      </c>
      <c r="D18" s="11" t="inlineStr">
        <is>
          <t>Q2_Revenue_Profitability</t>
        </is>
      </c>
      <c r="E18" s="11" t="inlineStr">
        <is>
          <t>Donut: Legend=Product, Value=Revenue</t>
        </is>
      </c>
      <c r="F18" s="11" t="inlineStr">
        <is>
          <t>1</t>
        </is>
      </c>
      <c r="G18" s="11" t="inlineStr">
        <is>
          <t>Top 4 products</t>
        </is>
      </c>
    </row>
    <row r="20" ht="10" customHeight="1"/>
    <row r="21" ht="24" customHeight="1">
      <c r="A21" s="29" t="inlineStr">
        <is>
          <t>STEP 2: BUILD PAGES — Page 2: Product Performance</t>
        </is>
      </c>
    </row>
    <row r="22" ht="26" customHeight="1">
      <c r="A22" s="3" t="inlineStr">
        <is>
          <t>Step</t>
        </is>
      </c>
      <c r="B22" s="3" t="inlineStr">
        <is>
          <t>Action</t>
        </is>
      </c>
      <c r="C22" s="3" t="inlineStr">
        <is>
          <t>Detail</t>
        </is>
      </c>
      <c r="D22" s="3" t="inlineStr">
        <is>
          <t>Sheet_to_Use</t>
        </is>
      </c>
      <c r="E22" s="3" t="inlineStr">
        <is>
          <t>Visual_Type</t>
        </is>
      </c>
      <c r="F22" s="3" t="inlineStr">
        <is>
          <t>Page</t>
        </is>
      </c>
      <c r="G22" s="3" t="inlineStr">
        <is>
          <t>Notes</t>
        </is>
      </c>
    </row>
    <row r="23" ht="20" customHeight="1">
      <c r="A23" s="6" t="inlineStr">
        <is>
          <t>3.1</t>
        </is>
      </c>
      <c r="B23" s="12" t="inlineStr">
        <is>
          <t>Product Table</t>
        </is>
      </c>
      <c r="C23" s="12" t="inlineStr">
        <is>
          <t>All product KPIs</t>
        </is>
      </c>
      <c r="D23" s="12" t="inlineStr">
        <is>
          <t>Q2_Revenue_Profitability</t>
        </is>
      </c>
      <c r="E23" s="12" t="inlineStr">
        <is>
          <t>Table visual</t>
        </is>
      </c>
      <c r="F23" s="12" t="inlineStr">
        <is>
          <t>2</t>
        </is>
      </c>
      <c r="G23" s="12" t="inlineStr">
        <is>
          <t>Conditional formatting on refund rate</t>
        </is>
      </c>
    </row>
    <row r="24" ht="20" customHeight="1">
      <c r="A24" s="4" t="inlineStr">
        <is>
          <t>3.2</t>
        </is>
      </c>
      <c r="B24" s="11" t="inlineStr">
        <is>
          <t>Margin Bar</t>
        </is>
      </c>
      <c r="C24" s="11" t="inlineStr">
        <is>
          <t>Gross margin by product</t>
        </is>
      </c>
      <c r="D24" s="11" t="inlineStr">
        <is>
          <t>Q2_Revenue_Profitability</t>
        </is>
      </c>
      <c r="E24" s="11" t="inlineStr">
        <is>
          <t>Bar: X=Product, Y=Gross_Margin_Pct</t>
        </is>
      </c>
      <c r="F24" s="11" t="inlineStr">
        <is>
          <t>2</t>
        </is>
      </c>
      <c r="G24" s="11" t="inlineStr">
        <is>
          <t>Color scale: green=high</t>
        </is>
      </c>
    </row>
    <row r="25" ht="20" customHeight="1">
      <c r="A25" s="6" t="inlineStr">
        <is>
          <t>3.3</t>
        </is>
      </c>
      <c r="B25" s="12" t="inlineStr">
        <is>
          <t>Refund Rate Bar</t>
        </is>
      </c>
      <c r="C25" s="12" t="inlineStr">
        <is>
          <t>Refund rates compared</t>
        </is>
      </c>
      <c r="D25" s="12" t="inlineStr">
        <is>
          <t>Q2_Revenue_Profitability</t>
        </is>
      </c>
      <c r="E25" s="12" t="inlineStr">
        <is>
          <t>Bar: X=Product, Y=Refund_Rate_Pct</t>
        </is>
      </c>
      <c r="F25" s="12" t="inlineStr">
        <is>
          <t>2</t>
        </is>
      </c>
      <c r="G25" s="12" t="inlineStr">
        <is>
          <t>Red for Sugar Panda</t>
        </is>
      </c>
    </row>
    <row r="26" ht="20" customHeight="1">
      <c r="A26" s="4" t="inlineStr">
        <is>
          <t>3.4</t>
        </is>
      </c>
      <c r="B26" s="11" t="inlineStr">
        <is>
          <t>Monthly by Product</t>
        </is>
      </c>
      <c r="C26" s="11" t="inlineStr">
        <is>
          <t>Product revenue trend lines</t>
        </is>
      </c>
      <c r="D26" s="11" t="inlineStr">
        <is>
          <t>Q5_CrossSell_Bundles</t>
        </is>
      </c>
      <c r="E26" s="11" t="inlineStr">
        <is>
          <t>Line chart by product</t>
        </is>
      </c>
      <c r="F26" s="11" t="inlineStr">
        <is>
          <t>2</t>
        </is>
      </c>
      <c r="G26" s="11" t="inlineStr">
        <is>
          <t>Slicer for year filter</t>
        </is>
      </c>
    </row>
    <row r="28" ht="10" customHeight="1"/>
    <row r="29" ht="24" customHeight="1">
      <c r="A29" s="30" t="inlineStr">
        <is>
          <t>STEP 2: BUILD PAGES — Page 3: Seasonality &amp; Recommendations</t>
        </is>
      </c>
    </row>
    <row r="30" ht="26" customHeight="1">
      <c r="A30" s="3" t="inlineStr">
        <is>
          <t>Step</t>
        </is>
      </c>
      <c r="B30" s="3" t="inlineStr">
        <is>
          <t>Action</t>
        </is>
      </c>
      <c r="C30" s="3" t="inlineStr">
        <is>
          <t>Detail</t>
        </is>
      </c>
      <c r="D30" s="3" t="inlineStr">
        <is>
          <t>Sheet_to_Use</t>
        </is>
      </c>
      <c r="E30" s="3" t="inlineStr">
        <is>
          <t>Visual_Type</t>
        </is>
      </c>
      <c r="F30" s="3" t="inlineStr">
        <is>
          <t>Page</t>
        </is>
      </c>
      <c r="G30" s="3" t="inlineStr">
        <is>
          <t>Notes</t>
        </is>
      </c>
    </row>
    <row r="31" ht="20" customHeight="1">
      <c r="A31" s="6" t="inlineStr">
        <is>
          <t>4.1</t>
        </is>
      </c>
      <c r="B31" s="12" t="inlineStr">
        <is>
          <t>Seasonality Heatmap</t>
        </is>
      </c>
      <c r="C31" s="12" t="inlineStr">
        <is>
          <t>Monthly index vs annual avg</t>
        </is>
      </c>
      <c r="D31" s="12" t="inlineStr">
        <is>
          <t>Q6_Seasonality</t>
        </is>
      </c>
      <c r="E31" s="12" t="inlineStr">
        <is>
          <t>Matrix: Rows=Month, Values=Index_vs_Avg</t>
        </is>
      </c>
      <c r="F31" s="12" t="inlineStr">
        <is>
          <t>3</t>
        </is>
      </c>
      <c r="G31" s="12" t="inlineStr">
        <is>
          <t>Color: red=peak, blue=dip</t>
        </is>
      </c>
    </row>
    <row r="32" ht="20" customHeight="1">
      <c r="A32" s="4" t="inlineStr">
        <is>
          <t>4.2</t>
        </is>
      </c>
      <c r="B32" s="11" t="inlineStr">
        <is>
          <t>Cross-Sell Bars</t>
        </is>
      </c>
      <c r="C32" s="11" t="inlineStr">
        <is>
          <t>Top bundle pairs</t>
        </is>
      </c>
      <c r="D32" s="11" t="inlineStr">
        <is>
          <t>Q5_CrossSell_Bundles</t>
        </is>
      </c>
      <c r="E32" s="11" t="inlineStr">
        <is>
          <t>Horizontal bar: X=Times_Together</t>
        </is>
      </c>
      <c r="F32" s="11" t="inlineStr">
        <is>
          <t>3</t>
        </is>
      </c>
      <c r="G32" s="11" t="inlineStr">
        <is>
          <t>Sort descending</t>
        </is>
      </c>
    </row>
    <row r="33" ht="20" customHeight="1">
      <c r="A33" s="6" t="inlineStr">
        <is>
          <t>4.3</t>
        </is>
      </c>
      <c r="B33" s="12" t="inlineStr">
        <is>
          <t>Recommendations Table</t>
        </is>
      </c>
      <c r="C33" s="12" t="inlineStr">
        <is>
          <t>Strategic action plan</t>
        </is>
      </c>
      <c r="D33" s="12" t="inlineStr">
        <is>
          <t>Q7_Recommendations</t>
        </is>
      </c>
      <c r="E33" s="12" t="inlineStr">
        <is>
          <t>Table with conditional formatting</t>
        </is>
      </c>
      <c r="F33" s="12" t="inlineStr">
        <is>
          <t>3</t>
        </is>
      </c>
      <c r="G33" s="12" t="inlineStr">
        <is>
          <t>Color by priority</t>
        </is>
      </c>
    </row>
    <row r="34" ht="20" customHeight="1">
      <c r="A34" s="4" t="inlineStr">
        <is>
          <t>4.4</t>
        </is>
      </c>
      <c r="B34" s="11" t="inlineStr">
        <is>
          <t>Publish</t>
        </is>
      </c>
      <c r="C34" s="11" t="inlineStr">
        <is>
          <t>File → Publish to Power BI Service</t>
        </is>
      </c>
      <c r="D34" s="11" t="inlineStr">
        <is>
          <t>—</t>
        </is>
      </c>
      <c r="E34" s="11" t="inlineStr">
        <is>
          <t>—</t>
        </is>
      </c>
      <c r="F34" s="11" t="inlineStr">
        <is>
          <t>—</t>
        </is>
      </c>
      <c r="G34" s="11" t="inlineStr">
        <is>
          <t>Select your workspace</t>
        </is>
      </c>
    </row>
    <row r="36" ht="10" customHeight="1"/>
    <row r="37" ht="24" customHeight="1">
      <c r="A37" s="50" t="inlineStr">
        <is>
          <t>FILE PATHS — Where to save your files (Windows)</t>
        </is>
      </c>
    </row>
    <row r="38" ht="20" customHeight="1">
      <c r="A38" s="25" t="inlineStr">
        <is>
          <t>Excel Data File</t>
        </is>
      </c>
      <c r="B38" s="51" t="inlineStr">
        <is>
          <t>E:\SQL\dataset\Portfolio\projects\Maven+Fuzzy+Factory\MavenEcom_PowerBI_Data.xlsx</t>
        </is>
      </c>
    </row>
    <row r="39" ht="20" customHeight="1">
      <c r="A39" s="19" t="inlineStr">
        <is>
          <t>HTML Dashboard</t>
        </is>
      </c>
      <c r="B39" s="52" t="inlineStr">
        <is>
          <t>E:\SQL\dataset\Portfolio\projects\Maven+Fuzzy+Factory\dashboard\maven_dashboard.html</t>
        </is>
      </c>
    </row>
    <row r="40" ht="20" customHeight="1">
      <c r="A40" s="25" t="inlineStr">
        <is>
          <t>SQL Scripts</t>
        </is>
      </c>
      <c r="B40" s="51" t="inlineStr">
        <is>
          <t>E:\SQL\dataset\Portfolio\projects\Maven+Fuzzy+Factory\scripts\sql_scripts.sql</t>
        </is>
      </c>
    </row>
    <row r="41" ht="20" customHeight="1">
      <c r="A41" s="19" t="inlineStr">
        <is>
          <t>Power BI File</t>
        </is>
      </c>
      <c r="B41" s="52" t="inlineStr">
        <is>
          <t>E:\SQL\dataset\Portfolio\projects\Maven+Fuzzy+Factory\dashboard\MavenEcom_Dashboard.pbix</t>
        </is>
      </c>
    </row>
    <row r="42" ht="20" customHeight="1">
      <c r="A42" s="25" t="inlineStr">
        <is>
          <t>README</t>
        </is>
      </c>
      <c r="B42" s="51" t="inlineStr">
        <is>
          <t>E:\SQL\dataset\Portfolio\projects\Maven+Fuzzy+Factory\README.md</t>
        </is>
      </c>
    </row>
  </sheetData>
  <mergeCells count="12">
    <mergeCell ref="B38:G38"/>
    <mergeCell ref="A13:G13"/>
    <mergeCell ref="A1:G1"/>
    <mergeCell ref="B42:G42"/>
    <mergeCell ref="A21:G21"/>
    <mergeCell ref="B41:G41"/>
    <mergeCell ref="A2:G2"/>
    <mergeCell ref="B40:G40"/>
    <mergeCell ref="A29:G29"/>
    <mergeCell ref="B39:G39"/>
    <mergeCell ref="A5:G5"/>
    <mergeCell ref="A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2026-03-17T01:08:52Z</dcterms:created>
  <dcterms:modified xmlns:dcterms="http://purl.org/dc/terms/" xmlns:xsi="http://www.w3.org/2001/XMLSchema-instance" xsi:type="dcterms:W3CDTF">2026-03-17T01:08:52Z</dcterms:modified>
</cp:coreProperties>
</file>